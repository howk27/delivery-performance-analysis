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03" yWindow="788" windowWidth="26083" windowHeight="13829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Mode" sheetId="3" state="visible" r:id="rId3"/>
    <sheet xmlns:r="http://schemas.openxmlformats.org/officeDocument/2006/relationships" name="Promise Test" sheetId="4" state="visible" r:id="rId4"/>
    <sheet xmlns:r="http://schemas.openxmlformats.org/officeDocument/2006/relationships" name="What-if" sheetId="5" state="visible" r:id="rId5"/>
    <sheet xmlns:r="http://schemas.openxmlformats.org/officeDocument/2006/relationships" name="Region by mode" sheetId="6" state="visible" r:id="rId6"/>
    <sheet xmlns:r="http://schemas.openxmlformats.org/officeDocument/2006/relationships" name="Category" sheetId="7" state="visible" r:id="rId7"/>
    <sheet xmlns:r="http://schemas.openxmlformats.org/officeDocument/2006/relationships" name="Money at risk" sheetId="8" state="visible" r:id="rId8"/>
    <sheet xmlns:r="http://schemas.openxmlformats.org/officeDocument/2006/relationships" name="Issues_Lo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mm\ yyyy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sz val="12"/>
    </font>
    <font>
      <name val="Calibri"/>
      <family val="2"/>
      <i val="1"/>
      <color rgb="FF5B6B80"/>
      <sz val="11"/>
    </font>
    <font>
      <name val="Calibri"/>
      <family val="2"/>
      <b val="1"/>
      <sz val="11"/>
    </font>
    <font>
      <name val="Calibri"/>
      <b val="1"/>
      <sz val="12"/>
    </font>
    <font>
      <name val="Calibri"/>
      <color rgb="005B6B80"/>
    </font>
    <font>
      <name val="Calibri"/>
      <b val="1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FFE7ECF3"/>
      </patternFill>
    </fill>
    <fill>
      <patternFill patternType="solid">
        <fgColor rgb="00E7EC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7F8FA6"/>
      </bottom>
      <diagonal/>
    </border>
    <border>
      <left/>
      <right/>
      <top style="thin">
        <color rgb="FF7F8FA6"/>
      </top>
      <bottom/>
      <diagonal/>
    </border>
    <border>
      <bottom style="thin">
        <color rgb="00D0D7E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center"/>
    </xf>
    <xf numFmtId="0" fontId="5" fillId="0" borderId="2" pivotButton="0" quotePrefix="0" xfId="0"/>
    <xf numFmtId="0" fontId="1" fillId="0" borderId="0" applyAlignment="1" pivotButton="0" quotePrefix="0" xfId="0">
      <alignment horizontal="right" vertical="center" wrapText="1"/>
    </xf>
    <xf numFmtId="165" fontId="0" fillId="0" borderId="0" applyAlignment="1" pivotButton="0" quotePrefix="0" xfId="0">
      <alignment horizontal="left" vertical="center"/>
    </xf>
    <xf numFmtId="3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4" fontId="5" fillId="0" borderId="2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164" fontId="0" fillId="0" borderId="0" applyAlignment="1" pivotButton="0" quotePrefix="0" xfId="0">
      <alignment horizontal="center"/>
    </xf>
    <xf numFmtId="164" fontId="5" fillId="0" borderId="2" applyAlignment="1" pivotButton="0" quotePrefix="0" xfId="0">
      <alignment horizontal="right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0" borderId="0" pivotButton="0" quotePrefix="0" xfId="0"/>
    <xf numFmtId="0" fontId="8" fillId="3" borderId="3" applyAlignment="1" pivotButton="0" quotePrefix="0" xfId="0">
      <alignment horizontal="left" wrapText="1"/>
    </xf>
    <xf numFmtId="0" fontId="8" fillId="3" borderId="3" applyAlignment="1" pivotButton="0" quotePrefix="0" xfId="0">
      <alignment horizontal="right" wrapText="1"/>
    </xf>
    <xf numFmtId="0" fontId="9" fillId="0" borderId="0" pivotButton="0" quotePrefix="0" xfId="0"/>
    <xf numFmtId="3" fontId="8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64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tabSelected="1" topLeftCell="A2" workbookViewId="0">
      <selection activeCell="P17" sqref="P17"/>
    </sheetView>
  </sheetViews>
  <sheetFormatPr baseColWidth="8" defaultRowHeight="14.3"/>
  <cols>
    <col width="48" customWidth="1" style="19" min="1" max="1"/>
    <col width="14" customWidth="1" style="19" min="2" max="2"/>
    <col width="16" customWidth="1" style="19" min="3" max="3"/>
    <col width="18" customWidth="1" style="19" min="4" max="4"/>
    <col width="16" customWidth="1" style="19" min="5" max="5"/>
    <col width="16" customWidth="1" style="19" min="6" max="6"/>
  </cols>
  <sheetData>
    <row r="1" ht="36" customHeight="1" s="19">
      <c r="A1" s="27" t="inlineStr">
        <is>
          <t>57.3% of orders arrive late, mainly because the promised delivery times are shorter than the time DataCo actually takes to deliver.</t>
        </is>
      </c>
    </row>
    <row r="2" ht="32" customHeight="1" s="19">
      <c r="A2" s="28" t="inlineStr">
        <is>
          <t>Delivery Performance Analysis, DataCo (Jan 2015 to Jan 2018, 62,897 non-canceled orders). Every number on this page is a formula that reads from the tabs; the SQL is in sql/06_kpis.sql.</t>
        </is>
      </c>
    </row>
    <row r="4">
      <c r="A4" s="29" t="inlineStr">
        <is>
          <t>Key numbers</t>
        </is>
      </c>
    </row>
    <row r="5">
      <c r="A5" s="30" t="inlineStr">
        <is>
          <t>Measure</t>
        </is>
      </c>
      <c r="B5" s="31" t="inlineStr">
        <is>
          <t>Value</t>
        </is>
      </c>
      <c r="C5" s="31" t="inlineStr">
        <is>
          <t>Source tab</t>
        </is>
      </c>
    </row>
    <row r="6">
      <c r="A6" s="32" t="inlineStr">
        <is>
          <t>Orders analyzed</t>
        </is>
      </c>
      <c r="B6" s="33">
        <f>'By Month'!B42</f>
        <v/>
      </c>
      <c r="C6" s="34" t="inlineStr">
        <is>
          <t>By Month</t>
        </is>
      </c>
    </row>
    <row r="7">
      <c r="A7" s="32" t="inlineStr">
        <is>
          <t>Late orders</t>
        </is>
      </c>
      <c r="B7" s="33">
        <f>'By Month'!C42</f>
        <v/>
      </c>
      <c r="C7" s="34" t="inlineStr">
        <is>
          <t>By Month</t>
        </is>
      </c>
    </row>
    <row r="8">
      <c r="A8" s="32" t="inlineStr">
        <is>
          <t>Late rate (%)</t>
        </is>
      </c>
      <c r="B8" s="35">
        <f>'By Month'!D42</f>
        <v/>
      </c>
      <c r="C8" s="34" t="inlineStr">
        <is>
          <t>By Month</t>
        </is>
      </c>
    </row>
    <row r="9">
      <c r="A9" s="32" t="inlineStr">
        <is>
          <t>Sales on late orders</t>
        </is>
      </c>
      <c r="B9" s="33">
        <f>'Money at risk'!C5</f>
        <v/>
      </c>
      <c r="C9" s="34" t="inlineStr">
        <is>
          <t>Money at risk</t>
        </is>
      </c>
    </row>
    <row r="10">
      <c r="A10" s="32" t="inlineStr">
        <is>
          <t>Profit on late orders</t>
        </is>
      </c>
      <c r="B10" s="33">
        <f>'Money at risk'!D5</f>
        <v/>
      </c>
      <c r="C10" s="34" t="inlineStr">
        <is>
          <t>Money at risk</t>
        </is>
      </c>
    </row>
    <row r="11">
      <c r="A11" s="32" t="inlineStr">
        <is>
          <t>Share of all sales on late orders (%)</t>
        </is>
      </c>
      <c r="B11" s="35">
        <f>'Money at risk'!E5</f>
        <v/>
      </c>
      <c r="C11" s="34" t="inlineStr">
        <is>
          <t>Money at risk</t>
        </is>
      </c>
    </row>
    <row r="12">
      <c r="A12" s="32" t="inlineStr">
        <is>
          <t>Late rate if every promise were 1 day longer (%)</t>
        </is>
      </c>
      <c r="B12" s="35">
        <f>'What-if'!D9</f>
        <v/>
      </c>
      <c r="C12" s="34" t="inlineStr">
        <is>
          <t>What-if</t>
        </is>
      </c>
    </row>
    <row r="13">
      <c r="A13" s="32" t="inlineStr">
        <is>
          <t>Late rate if every promise were 2 days longer (%)</t>
        </is>
      </c>
      <c r="B13" s="35">
        <f>'What-if'!E9</f>
        <v/>
      </c>
      <c r="C13" s="34" t="inlineStr">
        <is>
          <t>What-if</t>
        </is>
      </c>
    </row>
    <row r="15">
      <c r="A15" s="29" t="inlineStr">
        <is>
          <t>By shipping mode</t>
        </is>
      </c>
    </row>
    <row r="16">
      <c r="A16" s="30" t="inlineStr">
        <is>
          <t>Shipping mode</t>
        </is>
      </c>
      <c r="B16" s="31" t="inlineStr">
        <is>
          <t>Orders</t>
        </is>
      </c>
      <c r="C16" s="31" t="inlineStr">
        <is>
          <t>Late rate (%)</t>
        </is>
      </c>
      <c r="D16" s="31" t="inlineStr">
        <is>
          <t>Avg promised days</t>
        </is>
      </c>
      <c r="E16" s="31" t="inlineStr">
        <is>
          <t>Avg actual days</t>
        </is>
      </c>
    </row>
    <row r="17">
      <c r="A17" s="32">
        <f>'By Mode'!A5</f>
        <v/>
      </c>
      <c r="B17" s="36">
        <f>'By Mode'!B5</f>
        <v/>
      </c>
      <c r="C17" s="37">
        <f>'By Mode'!C5</f>
        <v/>
      </c>
      <c r="D17" s="37">
        <f>'By Mode'!D5</f>
        <v/>
      </c>
      <c r="E17" s="38">
        <f>'By Mode'!E5</f>
        <v/>
      </c>
    </row>
    <row r="18">
      <c r="A18" s="32">
        <f>'By Mode'!A6</f>
        <v/>
      </c>
      <c r="B18" s="36">
        <f>'By Mode'!B6</f>
        <v/>
      </c>
      <c r="C18" s="37">
        <f>'By Mode'!C6</f>
        <v/>
      </c>
      <c r="D18" s="37">
        <f>'By Mode'!D6</f>
        <v/>
      </c>
      <c r="E18" s="38">
        <f>'By Mode'!E6</f>
        <v/>
      </c>
    </row>
    <row r="19">
      <c r="A19" s="32">
        <f>'By Mode'!A7</f>
        <v/>
      </c>
      <c r="B19" s="36">
        <f>'By Mode'!B7</f>
        <v/>
      </c>
      <c r="C19" s="37">
        <f>'By Mode'!C7</f>
        <v/>
      </c>
      <c r="D19" s="37">
        <f>'By Mode'!D7</f>
        <v/>
      </c>
      <c r="E19" s="38">
        <f>'By Mode'!E7</f>
        <v/>
      </c>
    </row>
    <row r="20">
      <c r="A20" s="32">
        <f>'By Mode'!A8</f>
        <v/>
      </c>
      <c r="B20" s="36">
        <f>'By Mode'!B8</f>
        <v/>
      </c>
      <c r="C20" s="37">
        <f>'By Mode'!C8</f>
        <v/>
      </c>
      <c r="D20" s="37">
        <f>'By Mode'!D8</f>
        <v/>
      </c>
      <c r="E20" s="38">
        <f>'By Mode'!E8</f>
        <v/>
      </c>
    </row>
    <row r="21">
      <c r="A21" s="39" t="inlineStr">
        <is>
          <t>Source tab: By Mode</t>
        </is>
      </c>
    </row>
    <row r="23">
      <c r="A23" s="29" t="inlineStr">
        <is>
          <t>Findings</t>
        </is>
      </c>
    </row>
    <row r="24" ht="18" customHeight="1" s="19">
      <c r="A24" s="40" t="inlineStr">
        <is>
          <t>1. Shipping mode is the strongest driver of lateness (tab: By Mode).</t>
        </is>
      </c>
    </row>
    <row r="25" ht="48" customHeight="1" s="19">
      <c r="A25" s="41" t="inlineStr">
        <is>
          <t>First Class is late on 100% of orders, Second Class on 80%, Same Day on 48% and Standard Class on 40%. First Class and Second Class are the worst performers.</t>
        </is>
      </c>
    </row>
    <row r="26" ht="18" customHeight="1" s="19">
      <c r="A26" s="40" t="inlineStr">
        <is>
          <t>2. Promises are shorter than the delivery time (tabs: Promise Test, What-if).</t>
        </is>
      </c>
    </row>
    <row r="27" ht="48" customHeight="1" s="19">
      <c r="A27" s="41" t="inlineStr">
        <is>
          <t>First Class promises 1 day and always takes 2. Second Class promises 2 days but takes 2 to 6. Adding 1 day to every promise cuts the late rate from 57.3% to 23.7%; adding 2 days cuts it to 7.8%. Lengthening promises is the quickest fix.</t>
        </is>
      </c>
    </row>
    <row r="28" ht="18" customHeight="1" s="19">
      <c r="A28" s="40" t="inlineStr">
        <is>
          <t>3. Month, region and category do not explain it (tabs: By Month, Region by mode, Category).</t>
        </is>
      </c>
    </row>
    <row r="29" ht="48" customHeight="1" s="19">
      <c r="A29" s="41" t="inlineStr">
        <is>
          <t>The late rate stays between 55% and 60% in every month. Inside each shipping mode it is about the same in every region, and the nine largest categories are all 56.9% to 57.6% late.</t>
        </is>
      </c>
    </row>
    <row r="30" ht="18" customHeight="1" s="19">
      <c r="A30" s="40" t="inlineStr">
        <is>
          <t>4. Late orders carry more than half of the money (tab: Money at risk).</t>
        </is>
      </c>
    </row>
    <row r="31" ht="48" customHeight="1" s="19">
      <c r="A31" s="41" t="inlineStr">
        <is>
          <t>36,048 late orders carry 20.1 million in sales and 2.14 million in profit, 57% of sales and 56% of profit.</t>
        </is>
      </c>
    </row>
    <row r="33">
      <c r="A33" s="29" t="inlineStr">
        <is>
          <t>Limits</t>
        </is>
      </c>
    </row>
    <row r="34" ht="64" customHeight="1" s="19">
      <c r="A34" s="41" t="inlineStr">
        <is>
          <t>Public synthetic data with no carrier or cost data. Canceled and suspected-fraud orders (7,754 lines) are excluded. Actual delivery days are spread almost evenly across 2 to 6, which looks synthetic (Issues_Log #17), and order volume steps up from Oct 2017 (#16). Categories are counted in order lines, everything else per order. Differences in small cells are noise.</t>
        </is>
      </c>
    </row>
    <row r="36">
      <c r="A36" s="29" t="inlineStr">
        <is>
          <t>Checks (should all say OK)</t>
        </is>
      </c>
    </row>
    <row r="37">
      <c r="A37" s="30" t="inlineStr">
        <is>
          <t>Check</t>
        </is>
      </c>
      <c r="B37" s="31" t="inlineStr">
        <is>
          <t>Result</t>
        </is>
      </c>
    </row>
    <row r="38">
      <c r="A38" s="32" t="inlineStr">
        <is>
          <t>Orders agree across all five tabs</t>
        </is>
      </c>
      <c r="B38" s="42">
        <f>IF(AND('By Month'!B42='By Mode'!B9,'By Month'!B42='Promise Test'!D18,'By Month'!B42='What-if'!B9,'By Month'!B42='Money at risk'!B7,'By Month'!B42=62897),"OK","CHECK")</f>
        <v/>
      </c>
    </row>
    <row r="39">
      <c r="A39" s="32" t="inlineStr">
        <is>
          <t>Late orders agree (By Month vs Money at risk)</t>
        </is>
      </c>
      <c r="B39" s="42">
        <f>IF(AND('By Month'!C42='Money at risk'!B5,'By Month'!C42=36048),"OK","CHECK")</f>
        <v/>
      </c>
    </row>
    <row r="40">
      <c r="A40" s="32" t="inlineStr">
        <is>
          <t>Late rate agrees (By Month vs What-if)</t>
        </is>
      </c>
      <c r="B40" s="42">
        <f>IF(ABS('By Month'!D42-'What-if'!C9)&lt;0.05,"OK","CHECK")</f>
        <v/>
      </c>
    </row>
    <row r="41">
      <c r="A41" s="32" t="inlineStr">
        <is>
          <t>Sales and profit match the SQL totals</t>
        </is>
      </c>
      <c r="B41" s="42">
        <f>IF(AND(ROUND('Money at risk'!C7,2)=35214428.98,ROUND('Money at risk'!D7,2)=3806420.63),"OK","CHECK")</f>
        <v/>
      </c>
    </row>
  </sheetData>
  <mergeCells count="11">
    <mergeCell ref="A24:F24"/>
    <mergeCell ref="A2:F2"/>
    <mergeCell ref="A28:F28"/>
    <mergeCell ref="A1:F1"/>
    <mergeCell ref="A27:F27"/>
    <mergeCell ref="A31:F31"/>
    <mergeCell ref="A34:F34"/>
    <mergeCell ref="A26:F26"/>
    <mergeCell ref="A30:F30"/>
    <mergeCell ref="A29:F29"/>
    <mergeCell ref="A25:F25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4" topLeftCell="A5" activePane="bottomLeft" state="frozen"/>
      <selection activeCell="G9" sqref="G9"/>
      <selection pane="bottomLeft" activeCell="C5" sqref="C5:C6"/>
    </sheetView>
  </sheetViews>
  <sheetFormatPr baseColWidth="8" defaultRowHeight="14.3"/>
  <cols>
    <col width="21.25" customWidth="1" style="19" min="1" max="5"/>
    <col width="11.375" customWidth="1" style="19" min="9" max="9"/>
    <col width="20.875" customWidth="1" style="19" min="10" max="10"/>
  </cols>
  <sheetData>
    <row r="1" ht="59.95" customHeight="1" s="19">
      <c r="A1" s="18" t="inlineStr">
        <is>
          <t>The late rate stays between 55% and 60% in every month from Jan 2015 to Jan 2018, so lateness is steady, not seasonal.</t>
        </is>
      </c>
    </row>
    <row r="2">
      <c r="A2" s="3" t="inlineStr">
        <is>
          <t>From sql/06_kpis.sql, KPI 2</t>
        </is>
      </c>
      <c r="B2" s="1" t="n"/>
    </row>
    <row r="4" ht="31.95" customHeight="1" s="19">
      <c r="A4" s="20" t="inlineStr">
        <is>
          <t>Month</t>
        </is>
      </c>
      <c r="B4" s="20" t="inlineStr">
        <is>
          <t>Orders</t>
        </is>
      </c>
      <c r="C4" s="20" t="inlineStr">
        <is>
          <t>Late orders</t>
        </is>
      </c>
      <c r="D4" s="20" t="inlineStr">
        <is>
          <t>Late rate (%)</t>
        </is>
      </c>
      <c r="E4" s="20" t="inlineStr">
        <is>
          <t>Change (pts)</t>
        </is>
      </c>
      <c r="F4" s="6" t="n"/>
    </row>
    <row r="5">
      <c r="A5" s="23" t="n">
        <v>42005</v>
      </c>
      <c r="B5" s="8" t="n">
        <v>1713</v>
      </c>
      <c r="C5" s="8" t="n">
        <v>963</v>
      </c>
      <c r="D5" s="24" t="n">
        <v>56.2</v>
      </c>
      <c r="E5" s="25" t="n"/>
    </row>
    <row r="6">
      <c r="A6" s="23" t="n">
        <v>42036</v>
      </c>
      <c r="B6" s="8" t="n">
        <v>1505</v>
      </c>
      <c r="C6" s="8" t="n">
        <v>871</v>
      </c>
      <c r="D6" s="24" t="n">
        <v>57.9</v>
      </c>
      <c r="E6" s="24" t="n">
        <v>1.7</v>
      </c>
    </row>
    <row r="7">
      <c r="A7" s="23" t="n">
        <v>42064</v>
      </c>
      <c r="B7" s="8" t="n">
        <v>1702</v>
      </c>
      <c r="C7" s="8" t="n">
        <v>978</v>
      </c>
      <c r="D7" s="24" t="n">
        <v>57.5</v>
      </c>
      <c r="E7" s="24" t="n">
        <v>-0.4</v>
      </c>
    </row>
    <row r="8">
      <c r="A8" s="23" t="n">
        <v>42095</v>
      </c>
      <c r="B8" s="8" t="n">
        <v>1639</v>
      </c>
      <c r="C8" s="8" t="n">
        <v>927</v>
      </c>
      <c r="D8" s="24" t="n">
        <v>56.6</v>
      </c>
      <c r="E8" s="24" t="n">
        <v>-0.9</v>
      </c>
    </row>
    <row r="9">
      <c r="A9" s="23" t="n">
        <v>42125</v>
      </c>
      <c r="B9" s="8" t="n">
        <v>1684</v>
      </c>
      <c r="C9" s="8" t="n">
        <v>969</v>
      </c>
      <c r="D9" s="24" t="n">
        <v>57.5</v>
      </c>
      <c r="E9" s="24" t="n">
        <v>0.9</v>
      </c>
    </row>
    <row r="10">
      <c r="A10" s="23" t="n">
        <v>42156</v>
      </c>
      <c r="B10" s="8" t="n">
        <v>1651</v>
      </c>
      <c r="C10" s="8" t="n">
        <v>941</v>
      </c>
      <c r="D10" s="24" t="n">
        <v>57</v>
      </c>
      <c r="E10" s="24" t="n">
        <v>-0.5</v>
      </c>
    </row>
    <row r="11">
      <c r="A11" s="23" t="n">
        <v>42186</v>
      </c>
      <c r="B11" s="8" t="n">
        <v>1704</v>
      </c>
      <c r="C11" s="8" t="n">
        <v>963</v>
      </c>
      <c r="D11" s="24" t="n">
        <v>56.5</v>
      </c>
      <c r="E11" s="24" t="n">
        <v>-0.5</v>
      </c>
    </row>
    <row r="12">
      <c r="A12" s="23" t="n">
        <v>42217</v>
      </c>
      <c r="B12" s="8" t="n">
        <v>1678</v>
      </c>
      <c r="C12" s="8" t="n">
        <v>966</v>
      </c>
      <c r="D12" s="24" t="n">
        <v>57.6</v>
      </c>
      <c r="E12" s="24" t="n">
        <v>1.1</v>
      </c>
    </row>
    <row r="13">
      <c r="A13" s="23" t="n">
        <v>42248</v>
      </c>
      <c r="B13" s="8" t="n">
        <v>1634</v>
      </c>
      <c r="C13" s="8" t="n">
        <v>951</v>
      </c>
      <c r="D13" s="24" t="n">
        <v>58.2</v>
      </c>
      <c r="E13" s="24" t="n">
        <v>0.6</v>
      </c>
    </row>
    <row r="14">
      <c r="A14" s="23" t="n">
        <v>42278</v>
      </c>
      <c r="B14" s="8" t="n">
        <v>1696</v>
      </c>
      <c r="C14" s="8" t="n">
        <v>973</v>
      </c>
      <c r="D14" s="24" t="n">
        <v>57.4</v>
      </c>
      <c r="E14" s="24" t="n">
        <v>-0.8</v>
      </c>
    </row>
    <row r="15">
      <c r="A15" s="23" t="n">
        <v>42309</v>
      </c>
      <c r="B15" s="8" t="n">
        <v>1658</v>
      </c>
      <c r="C15" s="8" t="n">
        <v>941</v>
      </c>
      <c r="D15" s="24" t="n">
        <v>56.8</v>
      </c>
      <c r="E15" s="24" t="n">
        <v>-0.6</v>
      </c>
    </row>
    <row r="16">
      <c r="A16" s="23" t="n">
        <v>42339</v>
      </c>
      <c r="B16" s="8" t="n">
        <v>1731</v>
      </c>
      <c r="C16" s="8" t="n">
        <v>988</v>
      </c>
      <c r="D16" s="24" t="n">
        <v>57.1</v>
      </c>
      <c r="E16" s="24" t="n">
        <v>0.3</v>
      </c>
    </row>
    <row r="17">
      <c r="A17" s="23" t="n">
        <v>42370</v>
      </c>
      <c r="B17" s="8" t="n">
        <v>1703</v>
      </c>
      <c r="C17" s="8" t="n">
        <v>998</v>
      </c>
      <c r="D17" s="24" t="n">
        <v>58.6</v>
      </c>
      <c r="E17" s="24" t="n">
        <v>1.5</v>
      </c>
    </row>
    <row r="18">
      <c r="A18" s="23" t="n">
        <v>42401</v>
      </c>
      <c r="B18" s="8" t="n">
        <v>1574</v>
      </c>
      <c r="C18" s="8" t="n">
        <v>893</v>
      </c>
      <c r="D18" s="24" t="n">
        <v>56.7</v>
      </c>
      <c r="E18" s="24" t="n">
        <v>-1.9</v>
      </c>
    </row>
    <row r="19">
      <c r="A19" s="23" t="n">
        <v>42430</v>
      </c>
      <c r="B19" s="8" t="n">
        <v>1700</v>
      </c>
      <c r="C19" s="8" t="n">
        <v>987</v>
      </c>
      <c r="D19" s="24" t="n">
        <v>58.1</v>
      </c>
      <c r="E19" s="24" t="n">
        <v>1.4</v>
      </c>
    </row>
    <row r="20">
      <c r="A20" s="23" t="n">
        <v>42461</v>
      </c>
      <c r="B20" s="8" t="n">
        <v>1630</v>
      </c>
      <c r="C20" s="8" t="n">
        <v>925</v>
      </c>
      <c r="D20" s="24" t="n">
        <v>56.7</v>
      </c>
      <c r="E20" s="24" t="n">
        <v>-1.4</v>
      </c>
    </row>
    <row r="21">
      <c r="A21" s="23" t="n">
        <v>42491</v>
      </c>
      <c r="B21" s="8" t="n">
        <v>1675</v>
      </c>
      <c r="C21" s="8" t="n">
        <v>971</v>
      </c>
      <c r="D21" s="24" t="n">
        <v>58</v>
      </c>
      <c r="E21" s="24" t="n">
        <v>1.3</v>
      </c>
    </row>
    <row r="22">
      <c r="A22" s="23" t="n">
        <v>42522</v>
      </c>
      <c r="B22" s="8" t="n">
        <v>1617</v>
      </c>
      <c r="C22" s="8" t="n">
        <v>968</v>
      </c>
      <c r="D22" s="24" t="n">
        <v>59.9</v>
      </c>
      <c r="E22" s="24" t="n">
        <v>1.9</v>
      </c>
    </row>
    <row r="23">
      <c r="A23" s="23" t="n">
        <v>42552</v>
      </c>
      <c r="B23" s="8" t="n">
        <v>1662</v>
      </c>
      <c r="C23" s="8" t="n">
        <v>922</v>
      </c>
      <c r="D23" s="24" t="n">
        <v>55.5</v>
      </c>
      <c r="E23" s="24" t="n">
        <v>-4.4</v>
      </c>
    </row>
    <row r="24">
      <c r="A24" s="23" t="n">
        <v>42583</v>
      </c>
      <c r="B24" s="8" t="n">
        <v>1698</v>
      </c>
      <c r="C24" s="8" t="n">
        <v>983</v>
      </c>
      <c r="D24" s="24" t="n">
        <v>57.9</v>
      </c>
      <c r="E24" s="24" t="n">
        <v>2.4</v>
      </c>
    </row>
    <row r="25">
      <c r="A25" s="23" t="n">
        <v>42614</v>
      </c>
      <c r="B25" s="8" t="n">
        <v>1664</v>
      </c>
      <c r="C25" s="8" t="n">
        <v>949</v>
      </c>
      <c r="D25" s="24" t="n">
        <v>57</v>
      </c>
      <c r="E25" s="24" t="n">
        <v>-0.9</v>
      </c>
    </row>
    <row r="26">
      <c r="A26" s="23" t="n">
        <v>42644</v>
      </c>
      <c r="B26" s="8" t="n">
        <v>1703</v>
      </c>
      <c r="C26" s="8" t="n">
        <v>976</v>
      </c>
      <c r="D26" s="24" t="n">
        <v>57.3</v>
      </c>
      <c r="E26" s="24" t="n">
        <v>0.3</v>
      </c>
    </row>
    <row r="27">
      <c r="A27" s="23" t="n">
        <v>42675</v>
      </c>
      <c r="B27" s="8" t="n">
        <v>1639</v>
      </c>
      <c r="C27" s="8" t="n">
        <v>935</v>
      </c>
      <c r="D27" s="24" t="n">
        <v>57</v>
      </c>
      <c r="E27" s="24" t="n">
        <v>-0.3</v>
      </c>
    </row>
    <row r="28">
      <c r="A28" s="23" t="n">
        <v>42705</v>
      </c>
      <c r="B28" s="8" t="n">
        <v>1690</v>
      </c>
      <c r="C28" s="8" t="n">
        <v>990</v>
      </c>
      <c r="D28" s="24" t="n">
        <v>58.6</v>
      </c>
      <c r="E28" s="24" t="n">
        <v>1.6</v>
      </c>
    </row>
    <row r="29">
      <c r="A29" s="23" t="n">
        <v>42736</v>
      </c>
      <c r="B29" s="8" t="n">
        <v>1685</v>
      </c>
      <c r="C29" s="8" t="n">
        <v>940</v>
      </c>
      <c r="D29" s="24" t="n">
        <v>55.8</v>
      </c>
      <c r="E29" s="24" t="n">
        <v>-2.8</v>
      </c>
    </row>
    <row r="30">
      <c r="A30" s="23" t="n">
        <v>42767</v>
      </c>
      <c r="B30" s="8" t="n">
        <v>1538</v>
      </c>
      <c r="C30" s="8" t="n">
        <v>879</v>
      </c>
      <c r="D30" s="24" t="n">
        <v>57.2</v>
      </c>
      <c r="E30" s="24" t="n">
        <v>1.4</v>
      </c>
    </row>
    <row r="31">
      <c r="A31" s="23" t="n">
        <v>42795</v>
      </c>
      <c r="B31" s="8" t="n">
        <v>1710</v>
      </c>
      <c r="C31" s="8" t="n">
        <v>984</v>
      </c>
      <c r="D31" s="24" t="n">
        <v>57.5</v>
      </c>
      <c r="E31" s="24" t="n">
        <v>0.3</v>
      </c>
    </row>
    <row r="32">
      <c r="A32" s="23" t="n">
        <v>42826</v>
      </c>
      <c r="B32" s="8" t="n">
        <v>1666</v>
      </c>
      <c r="C32" s="8" t="n">
        <v>917</v>
      </c>
      <c r="D32" s="24" t="n">
        <v>55</v>
      </c>
      <c r="E32" s="24" t="n">
        <v>-2.5</v>
      </c>
    </row>
    <row r="33">
      <c r="A33" s="23" t="n">
        <v>42856</v>
      </c>
      <c r="B33" s="8" t="n">
        <v>1672</v>
      </c>
      <c r="C33" s="8" t="n">
        <v>965</v>
      </c>
      <c r="D33" s="24" t="n">
        <v>57.7</v>
      </c>
      <c r="E33" s="24" t="n">
        <v>2.7</v>
      </c>
    </row>
    <row r="34">
      <c r="A34" s="23" t="n">
        <v>42887</v>
      </c>
      <c r="B34" s="8" t="n">
        <v>1605</v>
      </c>
      <c r="C34" s="8" t="n">
        <v>911</v>
      </c>
      <c r="D34" s="24" t="n">
        <v>56.8</v>
      </c>
      <c r="E34" s="24" t="n">
        <v>-0.9</v>
      </c>
    </row>
    <row r="35">
      <c r="A35" s="23" t="n">
        <v>42917</v>
      </c>
      <c r="B35" s="8" t="n">
        <v>1693</v>
      </c>
      <c r="C35" s="8" t="n">
        <v>966</v>
      </c>
      <c r="D35" s="24" t="n">
        <v>57.1</v>
      </c>
      <c r="E35" s="24" t="n">
        <v>0.3</v>
      </c>
    </row>
    <row r="36">
      <c r="A36" s="23" t="n">
        <v>42948</v>
      </c>
      <c r="B36" s="8" t="n">
        <v>1695</v>
      </c>
      <c r="C36" s="8" t="n">
        <v>981</v>
      </c>
      <c r="D36" s="24" t="n">
        <v>57.9</v>
      </c>
      <c r="E36" s="24" t="n">
        <v>0.8</v>
      </c>
    </row>
    <row r="37">
      <c r="A37" s="23" t="n">
        <v>42979</v>
      </c>
      <c r="B37" s="8" t="n">
        <v>1640</v>
      </c>
      <c r="C37" s="8" t="n">
        <v>941</v>
      </c>
      <c r="D37" s="24" t="n">
        <v>57.4</v>
      </c>
      <c r="E37" s="24" t="n">
        <v>-0.5</v>
      </c>
    </row>
    <row r="38">
      <c r="A38" s="23" t="n">
        <v>43009</v>
      </c>
      <c r="B38" s="8" t="n">
        <v>2019</v>
      </c>
      <c r="C38" s="8" t="n">
        <v>1137</v>
      </c>
      <c r="D38" s="24" t="n">
        <v>56.3</v>
      </c>
      <c r="E38" s="24" t="n">
        <v>-1.1</v>
      </c>
    </row>
    <row r="39">
      <c r="A39" s="23" t="n">
        <v>43040</v>
      </c>
      <c r="B39" s="8" t="n">
        <v>1956</v>
      </c>
      <c r="C39" s="8" t="n">
        <v>1132</v>
      </c>
      <c r="D39" s="24" t="n">
        <v>57.9</v>
      </c>
      <c r="E39" s="24" t="n">
        <v>1.6</v>
      </c>
    </row>
    <row r="40">
      <c r="A40" s="23" t="n">
        <v>43070</v>
      </c>
      <c r="B40" s="8" t="n">
        <v>2031</v>
      </c>
      <c r="C40" s="8" t="n">
        <v>1172</v>
      </c>
      <c r="D40" s="24" t="n">
        <v>57.7</v>
      </c>
      <c r="E40" s="24" t="n">
        <v>-0.2</v>
      </c>
    </row>
    <row r="41">
      <c r="A41" s="23" t="n">
        <v>43101</v>
      </c>
      <c r="B41" s="8" t="n">
        <v>2037</v>
      </c>
      <c r="C41" s="8" t="n">
        <v>1195</v>
      </c>
      <c r="D41" s="24" t="n">
        <v>58.7</v>
      </c>
      <c r="E41" s="24" t="n">
        <v>1</v>
      </c>
    </row>
    <row r="42">
      <c r="A42" s="10" t="inlineStr">
        <is>
          <t>Total</t>
        </is>
      </c>
      <c r="B42" s="11">
        <f>SUM(B5:B41)</f>
        <v/>
      </c>
      <c r="C42" s="11">
        <f>SUM(C5:C41)</f>
        <v/>
      </c>
      <c r="D42" s="26">
        <f>ROUND(C42/B42*100,1)</f>
        <v/>
      </c>
    </row>
  </sheetData>
  <mergeCells count="1">
    <mergeCell ref="A1:E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D22" sqref="D22"/>
      <selection pane="bottomLeft" activeCell="D22" sqref="D22"/>
    </sheetView>
  </sheetViews>
  <sheetFormatPr baseColWidth="8" defaultRowHeight="14.3"/>
  <cols>
    <col width="21.25" customWidth="1" style="19" min="1" max="5"/>
    <col width="16" customWidth="1" style="19" min="6" max="6"/>
    <col width="19" customWidth="1" style="19" min="10" max="10"/>
  </cols>
  <sheetData>
    <row r="1" ht="41.95" customHeight="1" s="19">
      <c r="A1" s="18" t="inlineStr">
        <is>
          <t>Shipping mode drives lateness: First Class is late on 100% of orders, Second Class on 80%, Same Day on 48% and Standard Class on 40%.</t>
        </is>
      </c>
    </row>
    <row r="2">
      <c r="A2" s="3" t="inlineStr">
        <is>
          <t>From sql/06_kpis.sql, KPI 3</t>
        </is>
      </c>
      <c r="B2" s="2" t="n"/>
    </row>
    <row r="4" ht="31.95" customHeight="1" s="19">
      <c r="A4" s="20" t="inlineStr">
        <is>
          <t>Shipping mode</t>
        </is>
      </c>
      <c r="B4" s="20" t="inlineStr">
        <is>
          <t>Orders</t>
        </is>
      </c>
      <c r="C4" s="20" t="inlineStr">
        <is>
          <t>Late rate (%)</t>
        </is>
      </c>
      <c r="D4" s="20" t="inlineStr">
        <is>
          <t>Avg promised days</t>
        </is>
      </c>
      <c r="E4" s="20" t="inlineStr">
        <is>
          <t>Avg actual days</t>
        </is>
      </c>
      <c r="F4" s="20" t="inlineStr">
        <is>
          <t>Avg delay (days)</t>
        </is>
      </c>
    </row>
    <row r="5">
      <c r="A5" s="13" t="inlineStr">
        <is>
          <t>First Class</t>
        </is>
      </c>
      <c r="B5" s="8" t="n">
        <v>9602</v>
      </c>
      <c r="C5" s="24" t="n">
        <v>100</v>
      </c>
      <c r="D5" s="14" t="n">
        <v>1</v>
      </c>
      <c r="E5" s="14" t="n">
        <v>2</v>
      </c>
      <c r="F5" s="14" t="n">
        <v>1</v>
      </c>
    </row>
    <row r="6">
      <c r="A6" s="13" t="inlineStr">
        <is>
          <t>Second Class</t>
        </is>
      </c>
      <c r="B6" s="8" t="n">
        <v>12256</v>
      </c>
      <c r="C6" s="24" t="n">
        <v>80</v>
      </c>
      <c r="D6" s="14" t="n">
        <v>2</v>
      </c>
      <c r="E6" s="14" t="n">
        <v>4</v>
      </c>
      <c r="F6" s="14" t="n">
        <v>2</v>
      </c>
    </row>
    <row r="7">
      <c r="A7" s="13" t="inlineStr">
        <is>
          <t>Same Day</t>
        </is>
      </c>
      <c r="B7" s="8" t="n">
        <v>3407</v>
      </c>
      <c r="C7" s="24" t="n">
        <v>48.4</v>
      </c>
      <c r="D7" s="14" t="n">
        <v>0</v>
      </c>
      <c r="E7" s="14" t="n">
        <v>0.48</v>
      </c>
      <c r="F7" s="14" t="n">
        <v>0.48</v>
      </c>
    </row>
    <row r="8">
      <c r="A8" s="13" t="inlineStr">
        <is>
          <t>Standard Class</t>
        </is>
      </c>
      <c r="B8" s="8" t="n">
        <v>37632</v>
      </c>
      <c r="C8" s="24" t="n">
        <v>39.8</v>
      </c>
      <c r="D8" s="14" t="n">
        <v>4</v>
      </c>
      <c r="E8" s="14" t="n">
        <v>3.99</v>
      </c>
      <c r="F8" s="14" t="n">
        <v>-0.01</v>
      </c>
    </row>
    <row r="9">
      <c r="A9" s="10" t="inlineStr">
        <is>
          <t>Total</t>
        </is>
      </c>
      <c r="B9" s="11">
        <f>SUM(B5:B8)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activeCell="D22" sqref="D22"/>
      <selection pane="bottomLeft" activeCell="D22" sqref="D22"/>
    </sheetView>
  </sheetViews>
  <sheetFormatPr baseColWidth="8" defaultRowHeight="14.3"/>
  <cols>
    <col width="21.25" customWidth="1" style="19" min="1" max="5"/>
  </cols>
  <sheetData>
    <row r="1" ht="59.95" customHeight="1" s="19">
      <c r="A1" s="18" t="inlineStr">
        <is>
          <t>Second Class and Standard Class both deliver in 2 to 6 days, but Second Class promises 2 days and Standard Class promises 4; First Class always takes 2 days against a promise of 1.</t>
        </is>
      </c>
    </row>
    <row r="2">
      <c r="A2" s="3" t="inlineStr">
        <is>
          <t>From sql/06_kpis.sql, Promise test</t>
        </is>
      </c>
      <c r="B2" s="2" t="n"/>
    </row>
    <row r="4" ht="31.95" customHeight="1" s="19">
      <c r="A4" s="20" t="inlineStr">
        <is>
          <t>Shipping mode</t>
        </is>
      </c>
      <c r="B4" s="20" t="inlineStr">
        <is>
          <t>Promised days</t>
        </is>
      </c>
      <c r="C4" s="20" t="inlineStr">
        <is>
          <t>Actual days</t>
        </is>
      </c>
      <c r="D4" s="20" t="inlineStr">
        <is>
          <t>Orders</t>
        </is>
      </c>
      <c r="E4" s="20" t="inlineStr">
        <is>
          <t>Share of mode (%)</t>
        </is>
      </c>
      <c r="F4" s="22" t="n"/>
    </row>
    <row r="5">
      <c r="A5" s="13" t="inlineStr">
        <is>
          <t>First Class</t>
        </is>
      </c>
      <c r="B5" s="15" t="n">
        <v>1</v>
      </c>
      <c r="C5" s="15" t="n">
        <v>2</v>
      </c>
      <c r="D5" s="8" t="n">
        <v>9602</v>
      </c>
      <c r="E5" s="24" t="n">
        <v>100</v>
      </c>
    </row>
    <row r="6">
      <c r="A6" s="13" t="inlineStr">
        <is>
          <t>Same Day</t>
        </is>
      </c>
      <c r="B6" s="15" t="n">
        <v>0</v>
      </c>
      <c r="C6" s="15" t="n">
        <v>0</v>
      </c>
      <c r="D6" s="8" t="n">
        <v>1759</v>
      </c>
      <c r="E6" s="24" t="n">
        <v>51.6</v>
      </c>
    </row>
    <row r="7">
      <c r="A7" s="13" t="inlineStr">
        <is>
          <t>Same Day</t>
        </is>
      </c>
      <c r="B7" s="15" t="n">
        <v>0</v>
      </c>
      <c r="C7" s="15" t="n">
        <v>1</v>
      </c>
      <c r="D7" s="8" t="n">
        <v>1648</v>
      </c>
      <c r="E7" s="24" t="n">
        <v>48.4</v>
      </c>
    </row>
    <row r="8">
      <c r="A8" s="13" t="inlineStr">
        <is>
          <t>Second Class</t>
        </is>
      </c>
      <c r="B8" s="15" t="n">
        <v>2</v>
      </c>
      <c r="C8" s="15" t="n">
        <v>2</v>
      </c>
      <c r="D8" s="8" t="n">
        <v>2453</v>
      </c>
      <c r="E8" s="24" t="n">
        <v>20</v>
      </c>
    </row>
    <row r="9">
      <c r="A9" s="13" t="inlineStr">
        <is>
          <t>Second Class</t>
        </is>
      </c>
      <c r="B9" s="15" t="n">
        <v>2</v>
      </c>
      <c r="C9" s="15" t="n">
        <v>3</v>
      </c>
      <c r="D9" s="8" t="n">
        <v>2422</v>
      </c>
      <c r="E9" s="24" t="n">
        <v>19.8</v>
      </c>
    </row>
    <row r="10">
      <c r="A10" s="13" t="inlineStr">
        <is>
          <t>Second Class</t>
        </is>
      </c>
      <c r="B10" s="15" t="n">
        <v>2</v>
      </c>
      <c r="C10" s="15" t="n">
        <v>4</v>
      </c>
      <c r="D10" s="8" t="n">
        <v>2473</v>
      </c>
      <c r="E10" s="24" t="n">
        <v>20.2</v>
      </c>
    </row>
    <row r="11">
      <c r="A11" s="13" t="inlineStr">
        <is>
          <t>Second Class</t>
        </is>
      </c>
      <c r="B11" s="15" t="n">
        <v>2</v>
      </c>
      <c r="C11" s="15" t="n">
        <v>5</v>
      </c>
      <c r="D11" s="8" t="n">
        <v>2452</v>
      </c>
      <c r="E11" s="24" t="n">
        <v>20</v>
      </c>
    </row>
    <row r="12">
      <c r="A12" s="13" t="inlineStr">
        <is>
          <t>Second Class</t>
        </is>
      </c>
      <c r="B12" s="15" t="n">
        <v>2</v>
      </c>
      <c r="C12" s="15" t="n">
        <v>6</v>
      </c>
      <c r="D12" s="8" t="n">
        <v>2456</v>
      </c>
      <c r="E12" s="24" t="n">
        <v>20</v>
      </c>
    </row>
    <row r="13">
      <c r="A13" s="13" t="inlineStr">
        <is>
          <t>Standard Class</t>
        </is>
      </c>
      <c r="B13" s="15" t="n">
        <v>4</v>
      </c>
      <c r="C13" s="15" t="n">
        <v>2</v>
      </c>
      <c r="D13" s="8" t="n">
        <v>7610</v>
      </c>
      <c r="E13" s="24" t="n">
        <v>20.2</v>
      </c>
    </row>
    <row r="14">
      <c r="A14" s="13" t="inlineStr">
        <is>
          <t>Standard Class</t>
        </is>
      </c>
      <c r="B14" s="15" t="n">
        <v>4</v>
      </c>
      <c r="C14" s="15" t="n">
        <v>3</v>
      </c>
      <c r="D14" s="8" t="n">
        <v>7517</v>
      </c>
      <c r="E14" s="24" t="n">
        <v>20</v>
      </c>
    </row>
    <row r="15">
      <c r="A15" s="13" t="inlineStr">
        <is>
          <t>Standard Class</t>
        </is>
      </c>
      <c r="B15" s="15" t="n">
        <v>4</v>
      </c>
      <c r="C15" s="15" t="n">
        <v>4</v>
      </c>
      <c r="D15" s="8" t="n">
        <v>7510</v>
      </c>
      <c r="E15" s="24" t="n">
        <v>20</v>
      </c>
    </row>
    <row r="16">
      <c r="A16" s="13" t="inlineStr">
        <is>
          <t>Standard Class</t>
        </is>
      </c>
      <c r="B16" s="15" t="n">
        <v>4</v>
      </c>
      <c r="C16" s="15" t="n">
        <v>5</v>
      </c>
      <c r="D16" s="8" t="n">
        <v>7458</v>
      </c>
      <c r="E16" s="24" t="n">
        <v>19.8</v>
      </c>
    </row>
    <row r="17">
      <c r="A17" s="13" t="inlineStr">
        <is>
          <t>Standard Class</t>
        </is>
      </c>
      <c r="B17" s="15" t="n">
        <v>4</v>
      </c>
      <c r="C17" s="15" t="n">
        <v>6</v>
      </c>
      <c r="D17" s="8" t="n">
        <v>7537</v>
      </c>
      <c r="E17" s="24" t="n">
        <v>20</v>
      </c>
    </row>
    <row r="18">
      <c r="A18" s="10" t="inlineStr">
        <is>
          <t>Total</t>
        </is>
      </c>
      <c r="B18" s="5" t="n"/>
      <c r="C18" s="5" t="n"/>
      <c r="D18" s="11">
        <f>SUM(D5:D17)</f>
        <v/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activeCell="D22" sqref="D22"/>
      <selection pane="bottomLeft" activeCell="D22" sqref="D22"/>
    </sheetView>
  </sheetViews>
  <sheetFormatPr baseColWidth="8" defaultRowHeight="14.3"/>
  <cols>
    <col width="21.25" customWidth="1" style="19" min="1" max="5"/>
  </cols>
  <sheetData>
    <row r="1" ht="41.95" customHeight="1" s="19">
      <c r="A1" s="18" t="inlineStr">
        <is>
          <t>Adding 1 day to every promise cuts the late rate from 57.3% to 23.7%, and adding 2 days cuts it to 7.8%.</t>
        </is>
      </c>
    </row>
    <row r="2">
      <c r="A2" s="3" t="inlineStr">
        <is>
          <t>From sql/06_kpis.sql, What-if. The "All modes" row is calculated here from the four modes above.</t>
        </is>
      </c>
      <c r="B2" s="2" t="n"/>
    </row>
    <row r="4" ht="31.95" customHeight="1" s="19">
      <c r="A4" s="20" t="inlineStr">
        <is>
          <t>Shipping mode</t>
        </is>
      </c>
      <c r="B4" s="20" t="inlineStr">
        <is>
          <t>Orders</t>
        </is>
      </c>
      <c r="C4" s="20" t="inlineStr">
        <is>
          <t>Late now (%)</t>
        </is>
      </c>
      <c r="D4" s="20" t="inlineStr">
        <is>
          <t>Late with +1 day (%)</t>
        </is>
      </c>
      <c r="E4" s="20" t="inlineStr">
        <is>
          <t>Late with +2 days (%)</t>
        </is>
      </c>
      <c r="F4" s="22" t="n"/>
    </row>
    <row r="5">
      <c r="A5" s="13" t="inlineStr">
        <is>
          <t>First Class</t>
        </is>
      </c>
      <c r="B5" s="8" t="n">
        <v>9602</v>
      </c>
      <c r="C5" s="24" t="n">
        <v>100</v>
      </c>
      <c r="D5" s="24" t="n">
        <v>0</v>
      </c>
      <c r="E5" s="24" t="n">
        <v>0</v>
      </c>
    </row>
    <row r="6">
      <c r="A6" s="13" t="inlineStr">
        <is>
          <t>Second Class</t>
        </is>
      </c>
      <c r="B6" s="8" t="n">
        <v>12256</v>
      </c>
      <c r="C6" s="24" t="n">
        <v>80</v>
      </c>
      <c r="D6" s="24" t="n">
        <v>60.2</v>
      </c>
      <c r="E6" s="24" t="n">
        <v>40</v>
      </c>
    </row>
    <row r="7">
      <c r="A7" s="13" t="inlineStr">
        <is>
          <t>Same Day</t>
        </is>
      </c>
      <c r="B7" s="8" t="n">
        <v>3407</v>
      </c>
      <c r="C7" s="24" t="n">
        <v>48.4</v>
      </c>
      <c r="D7" s="24" t="n">
        <v>0</v>
      </c>
      <c r="E7" s="24" t="n">
        <v>0</v>
      </c>
    </row>
    <row r="8">
      <c r="A8" s="13" t="inlineStr">
        <is>
          <t>Standard Class</t>
        </is>
      </c>
      <c r="B8" s="8" t="n">
        <v>37632</v>
      </c>
      <c r="C8" s="24" t="n">
        <v>39.8</v>
      </c>
      <c r="D8" s="24" t="n">
        <v>20</v>
      </c>
      <c r="E8" s="24" t="n">
        <v>0</v>
      </c>
    </row>
    <row r="9">
      <c r="A9" s="10" t="inlineStr">
        <is>
          <t>All modes</t>
        </is>
      </c>
      <c r="B9" s="11">
        <f>SUM(B5:B8)</f>
        <v/>
      </c>
      <c r="C9" s="26">
        <f>ROUND(SUMPRODUCT($B$5:$B$8,C5:C8)/SUM($B$5:$B$8),1)</f>
        <v/>
      </c>
      <c r="D9" s="26">
        <f>ROUND(SUMPRODUCT($B$5:$B$8,D5:D8)/SUM($B$5:$B$8),1)</f>
        <v/>
      </c>
      <c r="E9" s="26">
        <f>ROUND(SUMPRODUCT($B$5:$B$8,E5:E8)/SUM($B$5:$B$8),1)</f>
        <v/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4" topLeftCell="A5" activePane="bottomLeft" state="frozen"/>
      <selection activeCell="D22" sqref="D22"/>
      <selection pane="bottomLeft" activeCell="D22" sqref="D22"/>
    </sheetView>
  </sheetViews>
  <sheetFormatPr baseColWidth="8" defaultRowHeight="14.3"/>
  <cols>
    <col width="21.25" customWidth="1" style="19" min="1" max="5"/>
  </cols>
  <sheetData>
    <row r="1" ht="41.95" customHeight="1" s="19">
      <c r="A1" s="18" t="inlineStr">
        <is>
          <t>Inside each shipping mode the late rate is about the same in every region, so region is not a driver.</t>
        </is>
      </c>
    </row>
    <row r="2">
      <c r="A2" s="3" t="inlineStr">
        <is>
          <t>From sql/06_kpis.sql, KPI 4. Cells with fewer than 30 orders (95 orders in total) are not shown.</t>
        </is>
      </c>
      <c r="B2" s="2" t="n"/>
    </row>
    <row r="4" ht="31.95" customHeight="1" s="19">
      <c r="A4" s="20" t="inlineStr">
        <is>
          <t>Shipping mode</t>
        </is>
      </c>
      <c r="B4" s="20" t="inlineStr">
        <is>
          <t>Region</t>
        </is>
      </c>
      <c r="C4" s="20" t="inlineStr">
        <is>
          <t>Orders</t>
        </is>
      </c>
      <c r="D4" s="20" t="inlineStr">
        <is>
          <t>Late rate (%)</t>
        </is>
      </c>
      <c r="E4" s="21" t="n"/>
      <c r="F4" s="22" t="n"/>
    </row>
    <row r="5">
      <c r="A5" s="13" t="inlineStr">
        <is>
          <t>First Class</t>
        </is>
      </c>
      <c r="B5" s="13" t="inlineStr">
        <is>
          <t>Eastern Europe</t>
        </is>
      </c>
      <c r="C5" s="8" t="n">
        <v>202</v>
      </c>
      <c r="D5" s="24" t="n">
        <v>100</v>
      </c>
    </row>
    <row r="6">
      <c r="A6" s="13" t="inlineStr">
        <is>
          <t>First Class</t>
        </is>
      </c>
      <c r="B6" s="13" t="inlineStr">
        <is>
          <t>Eastern Asia</t>
        </is>
      </c>
      <c r="C6" s="8" t="n">
        <v>469</v>
      </c>
      <c r="D6" s="24" t="n">
        <v>100</v>
      </c>
    </row>
    <row r="7">
      <c r="A7" s="13" t="inlineStr">
        <is>
          <t>First Class</t>
        </is>
      </c>
      <c r="B7" s="13" t="inlineStr">
        <is>
          <t>West of USA</t>
        </is>
      </c>
      <c r="C7" s="8" t="n">
        <v>376</v>
      </c>
      <c r="D7" s="24" t="n">
        <v>100</v>
      </c>
    </row>
    <row r="8">
      <c r="A8" s="13" t="inlineStr">
        <is>
          <t>First Class</t>
        </is>
      </c>
      <c r="B8" s="13" t="inlineStr">
        <is>
          <t>South of USA</t>
        </is>
      </c>
      <c r="C8" s="8" t="n">
        <v>187</v>
      </c>
      <c r="D8" s="24" t="n">
        <v>100</v>
      </c>
    </row>
    <row r="9">
      <c r="A9" s="13" t="inlineStr">
        <is>
          <t>First Class</t>
        </is>
      </c>
      <c r="B9" s="13" t="inlineStr">
        <is>
          <t>Oceania</t>
        </is>
      </c>
      <c r="C9" s="8" t="n">
        <v>566</v>
      </c>
      <c r="D9" s="24" t="n">
        <v>100</v>
      </c>
    </row>
    <row r="10">
      <c r="A10" s="13" t="inlineStr">
        <is>
          <t>First Class</t>
        </is>
      </c>
      <c r="B10" s="13" t="inlineStr">
        <is>
          <t>West Asia</t>
        </is>
      </c>
      <c r="C10" s="8" t="n">
        <v>316</v>
      </c>
      <c r="D10" s="24" t="n">
        <v>100</v>
      </c>
    </row>
    <row r="11">
      <c r="A11" s="13" t="inlineStr">
        <is>
          <t>First Class</t>
        </is>
      </c>
      <c r="B11" s="13" t="inlineStr">
        <is>
          <t>Canada</t>
        </is>
      </c>
      <c r="C11" s="8" t="n">
        <v>53</v>
      </c>
      <c r="D11" s="24" t="n">
        <v>100</v>
      </c>
    </row>
    <row r="12">
      <c r="A12" s="13" t="inlineStr">
        <is>
          <t>First Class</t>
        </is>
      </c>
      <c r="B12" s="13" t="inlineStr">
        <is>
          <t>East of USA</t>
        </is>
      </c>
      <c r="C12" s="8" t="n">
        <v>342</v>
      </c>
      <c r="D12" s="24" t="n">
        <v>100</v>
      </c>
    </row>
    <row r="13">
      <c r="A13" s="13" t="inlineStr">
        <is>
          <t>First Class</t>
        </is>
      </c>
      <c r="B13" s="13" t="inlineStr">
        <is>
          <t>South Asia</t>
        </is>
      </c>
      <c r="C13" s="8" t="n">
        <v>523</v>
      </c>
      <c r="D13" s="24" t="n">
        <v>100</v>
      </c>
    </row>
    <row r="14">
      <c r="A14" s="13" t="inlineStr">
        <is>
          <t>First Class</t>
        </is>
      </c>
      <c r="B14" s="13" t="inlineStr">
        <is>
          <t>US Center</t>
        </is>
      </c>
      <c r="C14" s="8" t="n">
        <v>314</v>
      </c>
      <c r="D14" s="24" t="n">
        <v>100</v>
      </c>
    </row>
    <row r="15">
      <c r="A15" s="13" t="inlineStr">
        <is>
          <t>First Class</t>
        </is>
      </c>
      <c r="B15" s="13" t="inlineStr">
        <is>
          <t>North Africa</t>
        </is>
      </c>
      <c r="C15" s="8" t="n">
        <v>150</v>
      </c>
      <c r="D15" s="24" t="n">
        <v>100</v>
      </c>
    </row>
    <row r="16">
      <c r="A16" s="13" t="inlineStr">
        <is>
          <t>First Class</t>
        </is>
      </c>
      <c r="B16" s="13" t="inlineStr">
        <is>
          <t>Central America</t>
        </is>
      </c>
      <c r="C16" s="8" t="n">
        <v>1382</v>
      </c>
      <c r="D16" s="24" t="n">
        <v>100</v>
      </c>
    </row>
    <row r="17">
      <c r="A17" s="13" t="inlineStr">
        <is>
          <t>First Class</t>
        </is>
      </c>
      <c r="B17" s="13" t="inlineStr">
        <is>
          <t>Caribbean</t>
        </is>
      </c>
      <c r="C17" s="8" t="n">
        <v>392</v>
      </c>
      <c r="D17" s="24" t="n">
        <v>100</v>
      </c>
    </row>
    <row r="18">
      <c r="A18" s="13" t="inlineStr">
        <is>
          <t>First Class</t>
        </is>
      </c>
      <c r="B18" s="13" t="inlineStr">
        <is>
          <t>Southeast Asia</t>
        </is>
      </c>
      <c r="C18" s="8" t="n">
        <v>650</v>
      </c>
      <c r="D18" s="24" t="n">
        <v>100</v>
      </c>
    </row>
    <row r="19">
      <c r="A19" s="13" t="inlineStr">
        <is>
          <t>First Class</t>
        </is>
      </c>
      <c r="B19" s="13" t="inlineStr">
        <is>
          <t>Northern Europe</t>
        </is>
      </c>
      <c r="C19" s="8" t="n">
        <v>528</v>
      </c>
      <c r="D19" s="24" t="n">
        <v>100</v>
      </c>
    </row>
    <row r="20">
      <c r="A20" s="13" t="inlineStr">
        <is>
          <t>First Class</t>
        </is>
      </c>
      <c r="B20" s="13" t="inlineStr">
        <is>
          <t>West Africa</t>
        </is>
      </c>
      <c r="C20" s="8" t="n">
        <v>139</v>
      </c>
      <c r="D20" s="24" t="n">
        <v>100</v>
      </c>
    </row>
    <row r="21">
      <c r="A21" s="13" t="inlineStr">
        <is>
          <t>First Class</t>
        </is>
      </c>
      <c r="B21" s="13" t="inlineStr">
        <is>
          <t>Southern Europe</t>
        </is>
      </c>
      <c r="C21" s="8" t="n">
        <v>507</v>
      </c>
      <c r="D21" s="24" t="n">
        <v>100</v>
      </c>
    </row>
    <row r="22">
      <c r="A22" s="13" t="inlineStr">
        <is>
          <t>First Class</t>
        </is>
      </c>
      <c r="B22" s="13" t="inlineStr">
        <is>
          <t>South America</t>
        </is>
      </c>
      <c r="C22" s="8" t="n">
        <v>724</v>
      </c>
      <c r="D22" s="24" t="n">
        <v>100</v>
      </c>
    </row>
    <row r="23">
      <c r="A23" s="13" t="inlineStr">
        <is>
          <t>First Class</t>
        </is>
      </c>
      <c r="B23" s="13" t="inlineStr">
        <is>
          <t>Western Europe</t>
        </is>
      </c>
      <c r="C23" s="8" t="n">
        <v>1516</v>
      </c>
      <c r="D23" s="24" t="n">
        <v>100</v>
      </c>
    </row>
    <row r="24">
      <c r="A24" s="13" t="inlineStr">
        <is>
          <t>First Class</t>
        </is>
      </c>
      <c r="B24" s="13" t="inlineStr">
        <is>
          <t>Southern Africa</t>
        </is>
      </c>
      <c r="C24" s="8" t="n">
        <v>64</v>
      </c>
      <c r="D24" s="24" t="n">
        <v>100</v>
      </c>
    </row>
    <row r="25">
      <c r="A25" s="13" t="inlineStr">
        <is>
          <t>First Class</t>
        </is>
      </c>
      <c r="B25" s="13" t="inlineStr">
        <is>
          <t>East Africa</t>
        </is>
      </c>
      <c r="C25" s="8" t="n">
        <v>94</v>
      </c>
      <c r="D25" s="24" t="n">
        <v>100</v>
      </c>
    </row>
    <row r="26">
      <c r="A26" s="13" t="inlineStr">
        <is>
          <t>First Class</t>
        </is>
      </c>
      <c r="B26" s="13" t="inlineStr">
        <is>
          <t>Central Africa</t>
        </is>
      </c>
      <c r="C26" s="8" t="n">
        <v>89</v>
      </c>
      <c r="D26" s="24" t="n">
        <v>100</v>
      </c>
    </row>
    <row r="27">
      <c r="A27" s="13" t="inlineStr">
        <is>
          <t>Same Day</t>
        </is>
      </c>
      <c r="B27" s="13" t="inlineStr">
        <is>
          <t>North Africa</t>
        </is>
      </c>
      <c r="C27" s="8" t="n">
        <v>65</v>
      </c>
      <c r="D27" s="24" t="n">
        <v>53.8</v>
      </c>
    </row>
    <row r="28">
      <c r="A28" s="13" t="inlineStr">
        <is>
          <t>Same Day</t>
        </is>
      </c>
      <c r="B28" s="13" t="inlineStr">
        <is>
          <t>Southern Europe</t>
        </is>
      </c>
      <c r="C28" s="8" t="n">
        <v>197</v>
      </c>
      <c r="D28" s="24" t="n">
        <v>53.8</v>
      </c>
    </row>
    <row r="29">
      <c r="A29" s="13" t="inlineStr">
        <is>
          <t>Same Day</t>
        </is>
      </c>
      <c r="B29" s="13" t="inlineStr">
        <is>
          <t>Caribbean</t>
        </is>
      </c>
      <c r="C29" s="8" t="n">
        <v>147</v>
      </c>
      <c r="D29" s="24" t="n">
        <v>53.7</v>
      </c>
    </row>
    <row r="30">
      <c r="A30" s="13" t="inlineStr">
        <is>
          <t>Same Day</t>
        </is>
      </c>
      <c r="B30" s="13" t="inlineStr">
        <is>
          <t>South Asia</t>
        </is>
      </c>
      <c r="C30" s="8" t="n">
        <v>171</v>
      </c>
      <c r="D30" s="24" t="n">
        <v>52.6</v>
      </c>
    </row>
    <row r="31">
      <c r="A31" s="13" t="inlineStr">
        <is>
          <t>Same Day</t>
        </is>
      </c>
      <c r="B31" s="13" t="inlineStr">
        <is>
          <t>West of USA</t>
        </is>
      </c>
      <c r="C31" s="8" t="n">
        <v>135</v>
      </c>
      <c r="D31" s="24" t="n">
        <v>51.9</v>
      </c>
    </row>
    <row r="32">
      <c r="A32" s="13" t="inlineStr">
        <is>
          <t>Same Day</t>
        </is>
      </c>
      <c r="B32" s="13" t="inlineStr">
        <is>
          <t>South America</t>
        </is>
      </c>
      <c r="C32" s="8" t="n">
        <v>253</v>
      </c>
      <c r="D32" s="24" t="n">
        <v>51</v>
      </c>
    </row>
    <row r="33">
      <c r="A33" s="13" t="inlineStr">
        <is>
          <t>Same Day</t>
        </is>
      </c>
      <c r="B33" s="13" t="inlineStr">
        <is>
          <t>Eastern Asia</t>
        </is>
      </c>
      <c r="C33" s="8" t="n">
        <v>172</v>
      </c>
      <c r="D33" s="24" t="n">
        <v>50</v>
      </c>
    </row>
    <row r="34">
      <c r="A34" s="13" t="inlineStr">
        <is>
          <t>Same Day</t>
        </is>
      </c>
      <c r="B34" s="13" t="inlineStr">
        <is>
          <t>Western Europe</t>
        </is>
      </c>
      <c r="C34" s="8" t="n">
        <v>498</v>
      </c>
      <c r="D34" s="24" t="n">
        <v>50</v>
      </c>
    </row>
    <row r="35">
      <c r="A35" s="13" t="inlineStr">
        <is>
          <t>Same Day</t>
        </is>
      </c>
      <c r="B35" s="13" t="inlineStr">
        <is>
          <t>Central America</t>
        </is>
      </c>
      <c r="C35" s="8" t="n">
        <v>470</v>
      </c>
      <c r="D35" s="24" t="n">
        <v>49.8</v>
      </c>
    </row>
    <row r="36">
      <c r="A36" s="13" t="inlineStr">
        <is>
          <t>Same Day</t>
        </is>
      </c>
      <c r="B36" s="13" t="inlineStr">
        <is>
          <t>East of USA</t>
        </is>
      </c>
      <c r="C36" s="8" t="n">
        <v>132</v>
      </c>
      <c r="D36" s="24" t="n">
        <v>49.2</v>
      </c>
    </row>
    <row r="37">
      <c r="A37" s="13" t="inlineStr">
        <is>
          <t>Same Day</t>
        </is>
      </c>
      <c r="B37" s="13" t="inlineStr">
        <is>
          <t>West Asia</t>
        </is>
      </c>
      <c r="C37" s="8" t="n">
        <v>96</v>
      </c>
      <c r="D37" s="24" t="n">
        <v>47.9</v>
      </c>
    </row>
    <row r="38">
      <c r="A38" s="13" t="inlineStr">
        <is>
          <t>Same Day</t>
        </is>
      </c>
      <c r="B38" s="13" t="inlineStr">
        <is>
          <t>Oceania</t>
        </is>
      </c>
      <c r="C38" s="8" t="n">
        <v>266</v>
      </c>
      <c r="D38" s="24" t="n">
        <v>47.7</v>
      </c>
    </row>
    <row r="39">
      <c r="A39" s="13" t="inlineStr">
        <is>
          <t>Same Day</t>
        </is>
      </c>
      <c r="B39" s="13" t="inlineStr">
        <is>
          <t>Southeast Asia</t>
        </is>
      </c>
      <c r="C39" s="8" t="n">
        <v>197</v>
      </c>
      <c r="D39" s="24" t="n">
        <v>44.7</v>
      </c>
    </row>
    <row r="40">
      <c r="A40" s="13" t="inlineStr">
        <is>
          <t>Same Day</t>
        </is>
      </c>
      <c r="B40" s="13" t="inlineStr">
        <is>
          <t>West Africa</t>
        </is>
      </c>
      <c r="C40" s="8" t="n">
        <v>74</v>
      </c>
      <c r="D40" s="24" t="n">
        <v>44.6</v>
      </c>
    </row>
    <row r="41">
      <c r="A41" s="13" t="inlineStr">
        <is>
          <t>Same Day</t>
        </is>
      </c>
      <c r="B41" s="13" t="inlineStr">
        <is>
          <t>East Africa</t>
        </is>
      </c>
      <c r="C41" s="8" t="n">
        <v>35</v>
      </c>
      <c r="D41" s="24" t="n">
        <v>42.9</v>
      </c>
    </row>
    <row r="42">
      <c r="A42" s="13" t="inlineStr">
        <is>
          <t>Same Day</t>
        </is>
      </c>
      <c r="B42" s="13" t="inlineStr">
        <is>
          <t>Northern Europe</t>
        </is>
      </c>
      <c r="C42" s="8" t="n">
        <v>200</v>
      </c>
      <c r="D42" s="24" t="n">
        <v>41</v>
      </c>
    </row>
    <row r="43">
      <c r="A43" s="13" t="inlineStr">
        <is>
          <t>Same Day</t>
        </is>
      </c>
      <c r="B43" s="13" t="inlineStr">
        <is>
          <t>South of USA</t>
        </is>
      </c>
      <c r="C43" s="8" t="n">
        <v>79</v>
      </c>
      <c r="D43" s="24" t="n">
        <v>39.2</v>
      </c>
    </row>
    <row r="44">
      <c r="A44" s="13" t="inlineStr">
        <is>
          <t>Same Day</t>
        </is>
      </c>
      <c r="B44" s="13" t="inlineStr">
        <is>
          <t>US Center</t>
        </is>
      </c>
      <c r="C44" s="8" t="n">
        <v>90</v>
      </c>
      <c r="D44" s="24" t="n">
        <v>38.9</v>
      </c>
    </row>
    <row r="45">
      <c r="A45" s="13" t="inlineStr">
        <is>
          <t>Same Day</t>
        </is>
      </c>
      <c r="B45" s="13" t="inlineStr">
        <is>
          <t>Eastern Europe</t>
        </is>
      </c>
      <c r="C45" s="8" t="n">
        <v>54</v>
      </c>
      <c r="D45" s="24" t="n">
        <v>37</v>
      </c>
    </row>
    <row r="46">
      <c r="A46" s="13" t="inlineStr">
        <is>
          <t>Second Class</t>
        </is>
      </c>
      <c r="B46" s="13" t="inlineStr">
        <is>
          <t>Central Asia</t>
        </is>
      </c>
      <c r="C46" s="8" t="n">
        <v>42</v>
      </c>
      <c r="D46" s="24" t="n">
        <v>85.7</v>
      </c>
    </row>
    <row r="47">
      <c r="A47" s="13" t="inlineStr">
        <is>
          <t>Second Class</t>
        </is>
      </c>
      <c r="B47" s="13" t="inlineStr">
        <is>
          <t>Central Africa</t>
        </is>
      </c>
      <c r="C47" s="8" t="n">
        <v>97</v>
      </c>
      <c r="D47" s="24" t="n">
        <v>84.5</v>
      </c>
    </row>
    <row r="48">
      <c r="A48" s="13" t="inlineStr">
        <is>
          <t>Second Class</t>
        </is>
      </c>
      <c r="B48" s="13" t="inlineStr">
        <is>
          <t>South of USA</t>
        </is>
      </c>
      <c r="C48" s="8" t="n">
        <v>271</v>
      </c>
      <c r="D48" s="24" t="n">
        <v>83.40000000000001</v>
      </c>
    </row>
    <row r="49">
      <c r="A49" s="13" t="inlineStr">
        <is>
          <t>Second Class</t>
        </is>
      </c>
      <c r="B49" s="13" t="inlineStr">
        <is>
          <t>Eastern Asia</t>
        </is>
      </c>
      <c r="C49" s="8" t="n">
        <v>597</v>
      </c>
      <c r="D49" s="24" t="n">
        <v>82.40000000000001</v>
      </c>
    </row>
    <row r="50">
      <c r="A50" s="13" t="inlineStr">
        <is>
          <t>Second Class</t>
        </is>
      </c>
      <c r="B50" s="13" t="inlineStr">
        <is>
          <t>Caribbean</t>
        </is>
      </c>
      <c r="C50" s="8" t="n">
        <v>513</v>
      </c>
      <c r="D50" s="24" t="n">
        <v>81.90000000000001</v>
      </c>
    </row>
    <row r="51">
      <c r="A51" s="13" t="inlineStr">
        <is>
          <t>Second Class</t>
        </is>
      </c>
      <c r="B51" s="13" t="inlineStr">
        <is>
          <t>East Africa</t>
        </is>
      </c>
      <c r="C51" s="8" t="n">
        <v>114</v>
      </c>
      <c r="D51" s="24" t="n">
        <v>81.59999999999999</v>
      </c>
    </row>
    <row r="52">
      <c r="A52" s="13" t="inlineStr">
        <is>
          <t>Second Class</t>
        </is>
      </c>
      <c r="B52" s="13" t="inlineStr">
        <is>
          <t>North Africa</t>
        </is>
      </c>
      <c r="C52" s="8" t="n">
        <v>195</v>
      </c>
      <c r="D52" s="24" t="n">
        <v>81.5</v>
      </c>
    </row>
    <row r="53">
      <c r="A53" s="13" t="inlineStr">
        <is>
          <t>Second Class</t>
        </is>
      </c>
      <c r="B53" s="13" t="inlineStr">
        <is>
          <t>Western Europe</t>
        </is>
      </c>
      <c r="C53" s="8" t="n">
        <v>1875</v>
      </c>
      <c r="D53" s="24" t="n">
        <v>80.7</v>
      </c>
    </row>
    <row r="54">
      <c r="A54" s="13" t="inlineStr">
        <is>
          <t>Second Class</t>
        </is>
      </c>
      <c r="B54" s="13" t="inlineStr">
        <is>
          <t>West Asia</t>
        </is>
      </c>
      <c r="C54" s="8" t="n">
        <v>390</v>
      </c>
      <c r="D54" s="24" t="n">
        <v>80.5</v>
      </c>
    </row>
    <row r="55">
      <c r="A55" s="13" t="inlineStr">
        <is>
          <t>Second Class</t>
        </is>
      </c>
      <c r="B55" s="13" t="inlineStr">
        <is>
          <t>Southern Europe</t>
        </is>
      </c>
      <c r="C55" s="8" t="n">
        <v>641</v>
      </c>
      <c r="D55" s="24" t="n">
        <v>80.2</v>
      </c>
    </row>
    <row r="56">
      <c r="A56" s="13" t="inlineStr">
        <is>
          <t>Second Class</t>
        </is>
      </c>
      <c r="B56" s="13" t="inlineStr">
        <is>
          <t>Southeast Asia</t>
        </is>
      </c>
      <c r="C56" s="8" t="n">
        <v>813</v>
      </c>
      <c r="D56" s="24" t="n">
        <v>80</v>
      </c>
    </row>
    <row r="57">
      <c r="A57" s="13" t="inlineStr">
        <is>
          <t>Second Class</t>
        </is>
      </c>
      <c r="B57" s="13" t="inlineStr">
        <is>
          <t>West of USA</t>
        </is>
      </c>
      <c r="C57" s="8" t="n">
        <v>504</v>
      </c>
      <c r="D57" s="24" t="n">
        <v>79.8</v>
      </c>
    </row>
    <row r="58">
      <c r="A58" s="13" t="inlineStr">
        <is>
          <t>Second Class</t>
        </is>
      </c>
      <c r="B58" s="13" t="inlineStr">
        <is>
          <t>South Asia</t>
        </is>
      </c>
      <c r="C58" s="8" t="n">
        <v>647</v>
      </c>
      <c r="D58" s="24" t="n">
        <v>79.8</v>
      </c>
    </row>
    <row r="59">
      <c r="A59" s="13" t="inlineStr">
        <is>
          <t>Second Class</t>
        </is>
      </c>
      <c r="B59" s="13" t="inlineStr">
        <is>
          <t>Northern Europe</t>
        </is>
      </c>
      <c r="C59" s="8" t="n">
        <v>687</v>
      </c>
      <c r="D59" s="24" t="n">
        <v>79.3</v>
      </c>
    </row>
    <row r="60">
      <c r="A60" s="13" t="inlineStr">
        <is>
          <t>Second Class</t>
        </is>
      </c>
      <c r="B60" s="13" t="inlineStr">
        <is>
          <t>South America</t>
        </is>
      </c>
      <c r="C60" s="8" t="n">
        <v>899</v>
      </c>
      <c r="D60" s="24" t="n">
        <v>79.3</v>
      </c>
    </row>
    <row r="61">
      <c r="A61" s="13" t="inlineStr">
        <is>
          <t>Second Class</t>
        </is>
      </c>
      <c r="B61" s="13" t="inlineStr">
        <is>
          <t>Oceania</t>
        </is>
      </c>
      <c r="C61" s="8" t="n">
        <v>849</v>
      </c>
      <c r="D61" s="24" t="n">
        <v>79.2</v>
      </c>
    </row>
    <row r="62">
      <c r="A62" s="13" t="inlineStr">
        <is>
          <t>Second Class</t>
        </is>
      </c>
      <c r="B62" s="13" t="inlineStr">
        <is>
          <t>US Center</t>
        </is>
      </c>
      <c r="C62" s="8" t="n">
        <v>375</v>
      </c>
      <c r="D62" s="24" t="n">
        <v>79.2</v>
      </c>
    </row>
    <row r="63">
      <c r="A63" s="13" t="inlineStr">
        <is>
          <t>Second Class</t>
        </is>
      </c>
      <c r="B63" s="13" t="inlineStr">
        <is>
          <t>Central America</t>
        </is>
      </c>
      <c r="C63" s="8" t="n">
        <v>1748</v>
      </c>
      <c r="D63" s="24" t="n">
        <v>78.8</v>
      </c>
    </row>
    <row r="64">
      <c r="A64" s="13" t="inlineStr">
        <is>
          <t>Second Class</t>
        </is>
      </c>
      <c r="B64" s="13" t="inlineStr">
        <is>
          <t>East of USA</t>
        </is>
      </c>
      <c r="C64" s="8" t="n">
        <v>413</v>
      </c>
      <c r="D64" s="24" t="n">
        <v>78.7</v>
      </c>
    </row>
    <row r="65">
      <c r="A65" s="13" t="inlineStr">
        <is>
          <t>Second Class</t>
        </is>
      </c>
      <c r="B65" s="13" t="inlineStr">
        <is>
          <t>Eastern Europe</t>
        </is>
      </c>
      <c r="C65" s="8" t="n">
        <v>256</v>
      </c>
      <c r="D65" s="24" t="n">
        <v>78.5</v>
      </c>
    </row>
    <row r="66">
      <c r="A66" s="13" t="inlineStr">
        <is>
          <t>Second Class</t>
        </is>
      </c>
      <c r="B66" s="13" t="inlineStr">
        <is>
          <t>West Africa</t>
        </is>
      </c>
      <c r="C66" s="8" t="n">
        <v>228</v>
      </c>
      <c r="D66" s="24" t="n">
        <v>78.09999999999999</v>
      </c>
    </row>
    <row r="67">
      <c r="A67" s="13" t="inlineStr">
        <is>
          <t>Second Class</t>
        </is>
      </c>
      <c r="B67" s="13" t="inlineStr">
        <is>
          <t>Southern Africa</t>
        </is>
      </c>
      <c r="C67" s="8" t="n">
        <v>51</v>
      </c>
      <c r="D67" s="24" t="n">
        <v>76.5</v>
      </c>
    </row>
    <row r="68">
      <c r="A68" s="13" t="inlineStr">
        <is>
          <t>Second Class</t>
        </is>
      </c>
      <c r="B68" s="13" t="inlineStr">
        <is>
          <t>Canada</t>
        </is>
      </c>
      <c r="C68" s="8" t="n">
        <v>51</v>
      </c>
      <c r="D68" s="24" t="n">
        <v>76.5</v>
      </c>
    </row>
    <row r="69">
      <c r="A69" s="13" t="inlineStr">
        <is>
          <t>Standard Class</t>
        </is>
      </c>
      <c r="B69" s="13" t="inlineStr">
        <is>
          <t>Central Africa</t>
        </is>
      </c>
      <c r="C69" s="8" t="n">
        <v>318</v>
      </c>
      <c r="D69" s="24" t="n">
        <v>44.3</v>
      </c>
    </row>
    <row r="70">
      <c r="A70" s="13" t="inlineStr">
        <is>
          <t>Standard Class</t>
        </is>
      </c>
      <c r="B70" s="13" t="inlineStr">
        <is>
          <t>Central Asia</t>
        </is>
      </c>
      <c r="C70" s="8" t="n">
        <v>103</v>
      </c>
      <c r="D70" s="24" t="n">
        <v>42.7</v>
      </c>
    </row>
    <row r="71">
      <c r="A71" s="13" t="inlineStr">
        <is>
          <t>Standard Class</t>
        </is>
      </c>
      <c r="B71" s="13" t="inlineStr">
        <is>
          <t>East Africa</t>
        </is>
      </c>
      <c r="C71" s="8" t="n">
        <v>346</v>
      </c>
      <c r="D71" s="24" t="n">
        <v>42.2</v>
      </c>
    </row>
    <row r="72">
      <c r="A72" s="13" t="inlineStr">
        <is>
          <t>Standard Class</t>
        </is>
      </c>
      <c r="B72" s="13" t="inlineStr">
        <is>
          <t>South of USA</t>
        </is>
      </c>
      <c r="C72" s="8" t="n">
        <v>743</v>
      </c>
      <c r="D72" s="24" t="n">
        <v>41.6</v>
      </c>
    </row>
    <row r="73">
      <c r="A73" s="13" t="inlineStr">
        <is>
          <t>Standard Class</t>
        </is>
      </c>
      <c r="B73" s="13" t="inlineStr">
        <is>
          <t>Southeast Asia</t>
        </is>
      </c>
      <c r="C73" s="8" t="n">
        <v>2513</v>
      </c>
      <c r="D73" s="24" t="n">
        <v>41.1</v>
      </c>
    </row>
    <row r="74">
      <c r="A74" s="13" t="inlineStr">
        <is>
          <t>Standard Class</t>
        </is>
      </c>
      <c r="B74" s="13" t="inlineStr">
        <is>
          <t>Eastern Europe</t>
        </is>
      </c>
      <c r="C74" s="8" t="n">
        <v>734</v>
      </c>
      <c r="D74" s="24" t="n">
        <v>40.9</v>
      </c>
    </row>
    <row r="75">
      <c r="A75" s="13" t="inlineStr">
        <is>
          <t>Standard Class</t>
        </is>
      </c>
      <c r="B75" s="13" t="inlineStr">
        <is>
          <t>East of USA</t>
        </is>
      </c>
      <c r="C75" s="8" t="n">
        <v>1332</v>
      </c>
      <c r="D75" s="24" t="n">
        <v>40.8</v>
      </c>
    </row>
    <row r="76">
      <c r="A76" s="13" t="inlineStr">
        <is>
          <t>Standard Class</t>
        </is>
      </c>
      <c r="B76" s="13" t="inlineStr">
        <is>
          <t>Oceania</t>
        </is>
      </c>
      <c r="C76" s="8" t="n">
        <v>2494</v>
      </c>
      <c r="D76" s="24" t="n">
        <v>40.8</v>
      </c>
    </row>
    <row r="77">
      <c r="A77" s="13" t="inlineStr">
        <is>
          <t>Standard Class</t>
        </is>
      </c>
      <c r="B77" s="13" t="inlineStr">
        <is>
          <t>Western Europe</t>
        </is>
      </c>
      <c r="C77" s="8" t="n">
        <v>5674</v>
      </c>
      <c r="D77" s="24" t="n">
        <v>40.7</v>
      </c>
    </row>
    <row r="78">
      <c r="A78" s="13" t="inlineStr">
        <is>
          <t>Standard Class</t>
        </is>
      </c>
      <c r="B78" s="13" t="inlineStr">
        <is>
          <t>West Asia</t>
        </is>
      </c>
      <c r="C78" s="8" t="n">
        <v>1133</v>
      </c>
      <c r="D78" s="24" t="n">
        <v>40.2</v>
      </c>
    </row>
    <row r="79">
      <c r="A79" s="13" t="inlineStr">
        <is>
          <t>Standard Class</t>
        </is>
      </c>
      <c r="B79" s="13" t="inlineStr">
        <is>
          <t>Central America</t>
        </is>
      </c>
      <c r="C79" s="8" t="n">
        <v>5401</v>
      </c>
      <c r="D79" s="24" t="n">
        <v>40</v>
      </c>
    </row>
    <row r="80">
      <c r="A80" s="13" t="inlineStr">
        <is>
          <t>Standard Class</t>
        </is>
      </c>
      <c r="B80" s="13" t="inlineStr">
        <is>
          <t>Eastern Asia</t>
        </is>
      </c>
      <c r="C80" s="8" t="n">
        <v>1933</v>
      </c>
      <c r="D80" s="24" t="n">
        <v>39.9</v>
      </c>
    </row>
    <row r="81">
      <c r="A81" s="13" t="inlineStr">
        <is>
          <t>Standard Class</t>
        </is>
      </c>
      <c r="B81" s="13" t="inlineStr">
        <is>
          <t>US Center</t>
        </is>
      </c>
      <c r="C81" s="8" t="n">
        <v>1073</v>
      </c>
      <c r="D81" s="24" t="n">
        <v>39.6</v>
      </c>
    </row>
    <row r="82">
      <c r="A82" s="13" t="inlineStr">
        <is>
          <t>Standard Class</t>
        </is>
      </c>
      <c r="B82" s="13" t="inlineStr">
        <is>
          <t>West of USA</t>
        </is>
      </c>
      <c r="C82" s="8" t="n">
        <v>1521</v>
      </c>
      <c r="D82" s="24" t="n">
        <v>39.6</v>
      </c>
    </row>
    <row r="83">
      <c r="A83" s="13" t="inlineStr">
        <is>
          <t>Standard Class</t>
        </is>
      </c>
      <c r="B83" s="13" t="inlineStr">
        <is>
          <t>Southern Africa</t>
        </is>
      </c>
      <c r="C83" s="8" t="n">
        <v>245</v>
      </c>
      <c r="D83" s="24" t="n">
        <v>39.6</v>
      </c>
    </row>
    <row r="84">
      <c r="A84" s="13" t="inlineStr">
        <is>
          <t>Standard Class</t>
        </is>
      </c>
      <c r="B84" s="13" t="inlineStr">
        <is>
          <t>South America</t>
        </is>
      </c>
      <c r="C84" s="8" t="n">
        <v>2862</v>
      </c>
      <c r="D84" s="24" t="n">
        <v>39.5</v>
      </c>
    </row>
    <row r="85">
      <c r="A85" s="13" t="inlineStr">
        <is>
          <t>Standard Class</t>
        </is>
      </c>
      <c r="B85" s="13" t="inlineStr">
        <is>
          <t>South Asia</t>
        </is>
      </c>
      <c r="C85" s="8" t="n">
        <v>1878</v>
      </c>
      <c r="D85" s="24" t="n">
        <v>39.2</v>
      </c>
    </row>
    <row r="86">
      <c r="A86" s="13" t="inlineStr">
        <is>
          <t>Standard Class</t>
        </is>
      </c>
      <c r="B86" s="13" t="inlineStr">
        <is>
          <t>Northern Europe</t>
        </is>
      </c>
      <c r="C86" s="8" t="n">
        <v>2149</v>
      </c>
      <c r="D86" s="24" t="n">
        <v>39.1</v>
      </c>
    </row>
    <row r="87">
      <c r="A87" s="13" t="inlineStr">
        <is>
          <t>Standard Class</t>
        </is>
      </c>
      <c r="B87" s="13" t="inlineStr">
        <is>
          <t>North Africa</t>
        </is>
      </c>
      <c r="C87" s="8" t="n">
        <v>603</v>
      </c>
      <c r="D87" s="24" t="n">
        <v>38.8</v>
      </c>
    </row>
    <row r="88">
      <c r="A88" s="13" t="inlineStr">
        <is>
          <t>Standard Class</t>
        </is>
      </c>
      <c r="B88" s="13" t="inlineStr">
        <is>
          <t>West Africa</t>
        </is>
      </c>
      <c r="C88" s="8" t="n">
        <v>733</v>
      </c>
      <c r="D88" s="24" t="n">
        <v>37.7</v>
      </c>
    </row>
    <row r="89">
      <c r="A89" s="13" t="inlineStr">
        <is>
          <t>Standard Class</t>
        </is>
      </c>
      <c r="B89" s="13" t="inlineStr">
        <is>
          <t>Southern Europe</t>
        </is>
      </c>
      <c r="C89" s="8" t="n">
        <v>2045</v>
      </c>
      <c r="D89" s="24" t="n">
        <v>37.6</v>
      </c>
    </row>
    <row r="90">
      <c r="A90" s="13" t="inlineStr">
        <is>
          <t>Standard Class</t>
        </is>
      </c>
      <c r="B90" s="13" t="inlineStr">
        <is>
          <t>Caribbean</t>
        </is>
      </c>
      <c r="C90" s="8" t="n">
        <v>1623</v>
      </c>
      <c r="D90" s="24" t="n">
        <v>36.7</v>
      </c>
    </row>
    <row r="91">
      <c r="A91" s="13" t="inlineStr">
        <is>
          <t>Standard Class</t>
        </is>
      </c>
      <c r="B91" s="13" t="inlineStr">
        <is>
          <t>Canada</t>
        </is>
      </c>
      <c r="C91" s="8" t="n">
        <v>176</v>
      </c>
      <c r="D91" s="24" t="n">
        <v>33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4" topLeftCell="A5" activePane="bottomLeft" state="frozen"/>
      <selection activeCell="D22" sqref="D22"/>
      <selection pane="bottomLeft" activeCell="D22" sqref="D22"/>
    </sheetView>
  </sheetViews>
  <sheetFormatPr baseColWidth="8" defaultRowHeight="14.3"/>
  <cols>
    <col width="21.25" customWidth="1" style="19" min="1" max="5"/>
  </cols>
  <sheetData>
    <row r="1" ht="59.95" customHeight="1" s="19">
      <c r="A1" s="18" t="inlineStr">
        <is>
          <t>The nine largest categories are all late 56.9% to 57.6% of the time, so what was ordered does not drive lateness.</t>
        </is>
      </c>
    </row>
    <row r="2">
      <c r="A2" s="3" t="inlineStr">
        <is>
          <t>From sql/06_kpis.sql, KPI 5. Counted in lines. Categories with fewer than 100 lines (191 lines in total) are not shown.</t>
        </is>
      </c>
      <c r="B2" s="2" t="n"/>
    </row>
    <row r="4" ht="31.95" customHeight="1" s="19">
      <c r="A4" s="20" t="inlineStr">
        <is>
          <t>Category</t>
        </is>
      </c>
      <c r="B4" s="20" t="inlineStr">
        <is>
          <t>Lines</t>
        </is>
      </c>
      <c r="C4" s="20" t="inlineStr">
        <is>
          <t>Late rate (%)</t>
        </is>
      </c>
      <c r="D4" s="21" t="n"/>
      <c r="E4" s="21" t="n"/>
      <c r="F4" s="22" t="n"/>
    </row>
    <row r="5">
      <c r="A5" s="13" t="inlineStr">
        <is>
          <t>Lacrosse</t>
        </is>
      </c>
      <c r="B5" s="8" t="n">
        <v>329</v>
      </c>
      <c r="C5" s="24" t="n">
        <v>62.6</v>
      </c>
    </row>
    <row r="6">
      <c r="A6" s="13" t="inlineStr">
        <is>
          <t>Pet Supplies</t>
        </is>
      </c>
      <c r="B6" s="8" t="n">
        <v>472</v>
      </c>
      <c r="C6" s="24" t="n">
        <v>61.4</v>
      </c>
    </row>
    <row r="7">
      <c r="A7" s="13" t="inlineStr">
        <is>
          <t>Cameras</t>
        </is>
      </c>
      <c r="B7" s="8" t="n">
        <v>562</v>
      </c>
      <c r="C7" s="24" t="n">
        <v>61.2</v>
      </c>
    </row>
    <row r="8">
      <c r="A8" s="13" t="inlineStr">
        <is>
          <t>Accessories</t>
        </is>
      </c>
      <c r="B8" s="8" t="n">
        <v>1697</v>
      </c>
      <c r="C8" s="24" t="n">
        <v>59.8</v>
      </c>
    </row>
    <row r="9">
      <c r="A9" s="13" t="inlineStr">
        <is>
          <t>Fitness Accessories</t>
        </is>
      </c>
      <c r="B9" s="8" t="n">
        <v>296</v>
      </c>
      <c r="C9" s="24" t="n">
        <v>59.5</v>
      </c>
    </row>
    <row r="10">
      <c r="A10" s="13" t="inlineStr">
        <is>
          <t>Music</t>
        </is>
      </c>
      <c r="B10" s="8" t="n">
        <v>417</v>
      </c>
      <c r="C10" s="24" t="n">
        <v>59.5</v>
      </c>
    </row>
    <row r="11">
      <c r="A11" s="13" t="inlineStr">
        <is>
          <t>Crafts</t>
        </is>
      </c>
      <c r="B11" s="8" t="n">
        <v>458</v>
      </c>
      <c r="C11" s="24" t="n">
        <v>59.2</v>
      </c>
    </row>
    <row r="12">
      <c r="A12" s="13" t="inlineStr">
        <is>
          <t>Boxing &amp; MMA</t>
        </is>
      </c>
      <c r="B12" s="8" t="n">
        <v>402</v>
      </c>
      <c r="C12" s="24" t="n">
        <v>59.2</v>
      </c>
    </row>
    <row r="13">
      <c r="A13" s="13" t="inlineStr">
        <is>
          <t>Sporting Goods</t>
        </is>
      </c>
      <c r="B13" s="8" t="n">
        <v>336</v>
      </c>
      <c r="C13" s="24" t="n">
        <v>58.9</v>
      </c>
    </row>
    <row r="14">
      <c r="A14" s="13" t="inlineStr">
        <is>
          <t>Strength Training</t>
        </is>
      </c>
      <c r="B14" s="8" t="n">
        <v>109</v>
      </c>
      <c r="C14" s="24" t="n">
        <v>58.7</v>
      </c>
    </row>
    <row r="15">
      <c r="A15" s="13" t="inlineStr">
        <is>
          <t>Books</t>
        </is>
      </c>
      <c r="B15" s="8" t="n">
        <v>391</v>
      </c>
      <c r="C15" s="24" t="n">
        <v>58.6</v>
      </c>
    </row>
    <row r="16">
      <c r="A16" s="13" t="inlineStr">
        <is>
          <t>Golf Gloves</t>
        </is>
      </c>
      <c r="B16" s="8" t="n">
        <v>1029</v>
      </c>
      <c r="C16" s="24" t="n">
        <v>58.5</v>
      </c>
    </row>
    <row r="17">
      <c r="A17" s="13" t="inlineStr">
        <is>
          <t>Trade-In</t>
        </is>
      </c>
      <c r="B17" s="8" t="n">
        <v>926</v>
      </c>
      <c r="C17" s="24" t="n">
        <v>58.5</v>
      </c>
    </row>
    <row r="18">
      <c r="A18" s="13" t="inlineStr">
        <is>
          <t>Electronics</t>
        </is>
      </c>
      <c r="B18" s="8" t="n">
        <v>3024</v>
      </c>
      <c r="C18" s="24" t="n">
        <v>58.5</v>
      </c>
    </row>
    <row r="19">
      <c r="A19" s="13" t="inlineStr">
        <is>
          <t>Health and Beauty</t>
        </is>
      </c>
      <c r="B19" s="8" t="n">
        <v>346</v>
      </c>
      <c r="C19" s="24" t="n">
        <v>58.4</v>
      </c>
    </row>
    <row r="20">
      <c r="A20" s="13" t="inlineStr">
        <is>
          <t>Girls' Apparel</t>
        </is>
      </c>
      <c r="B20" s="8" t="n">
        <v>1137</v>
      </c>
      <c r="C20" s="24" t="n">
        <v>58.4</v>
      </c>
    </row>
    <row r="21">
      <c r="A21" s="13" t="inlineStr">
        <is>
          <t>Tennis &amp; Racquet</t>
        </is>
      </c>
      <c r="B21" s="8" t="n">
        <v>314</v>
      </c>
      <c r="C21" s="24" t="n">
        <v>58.3</v>
      </c>
    </row>
    <row r="22">
      <c r="A22" s="13" t="inlineStr">
        <is>
          <t>Hunting &amp; Shooting</t>
        </is>
      </c>
      <c r="B22" s="8" t="n">
        <v>424</v>
      </c>
      <c r="C22" s="24" t="n">
        <v>58.3</v>
      </c>
    </row>
    <row r="23">
      <c r="A23" s="13" t="inlineStr">
        <is>
          <t>Women's Clothing</t>
        </is>
      </c>
      <c r="B23" s="8" t="n">
        <v>631</v>
      </c>
      <c r="C23" s="24" t="n">
        <v>58.2</v>
      </c>
    </row>
    <row r="24">
      <c r="A24" s="13" t="inlineStr">
        <is>
          <t>Consumer Electronics</t>
        </is>
      </c>
      <c r="B24" s="8" t="n">
        <v>409</v>
      </c>
      <c r="C24" s="24" t="n">
        <v>58.2</v>
      </c>
    </row>
    <row r="25">
      <c r="A25" s="13" t="inlineStr">
        <is>
          <t>Golf Shoes</t>
        </is>
      </c>
      <c r="B25" s="8" t="n">
        <v>502</v>
      </c>
      <c r="C25" s="24" t="n">
        <v>58</v>
      </c>
    </row>
    <row r="26">
      <c r="A26" s="13" t="inlineStr">
        <is>
          <t>Garden</t>
        </is>
      </c>
      <c r="B26" s="8" t="n">
        <v>466</v>
      </c>
      <c r="C26" s="24" t="n">
        <v>57.9</v>
      </c>
    </row>
    <row r="27">
      <c r="A27" s="13" t="inlineStr">
        <is>
          <t>Shop By Sport</t>
        </is>
      </c>
      <c r="B27" s="8" t="n">
        <v>10515</v>
      </c>
      <c r="C27" s="24" t="n">
        <v>57.6</v>
      </c>
    </row>
    <row r="28">
      <c r="A28" s="13" t="inlineStr">
        <is>
          <t>Kids' Golf Clubs</t>
        </is>
      </c>
      <c r="B28" s="8" t="n">
        <v>356</v>
      </c>
      <c r="C28" s="24" t="n">
        <v>57.6</v>
      </c>
    </row>
    <row r="29">
      <c r="A29" s="13" t="inlineStr">
        <is>
          <t>Baseball &amp; Softball</t>
        </is>
      </c>
      <c r="B29" s="8" t="n">
        <v>607</v>
      </c>
      <c r="C29" s="24" t="n">
        <v>57.5</v>
      </c>
    </row>
    <row r="30">
      <c r="A30" s="13" t="inlineStr">
        <is>
          <t>Cleats</t>
        </is>
      </c>
      <c r="B30" s="8" t="n">
        <v>23514</v>
      </c>
      <c r="C30" s="24" t="n">
        <v>57.4</v>
      </c>
    </row>
    <row r="31">
      <c r="A31" s="13" t="inlineStr">
        <is>
          <t>Toys</t>
        </is>
      </c>
      <c r="B31" s="8" t="n">
        <v>507</v>
      </c>
      <c r="C31" s="24" t="n">
        <v>57.4</v>
      </c>
    </row>
    <row r="32">
      <c r="A32" s="13" t="inlineStr">
        <is>
          <t>Golf Balls</t>
        </is>
      </c>
      <c r="B32" s="8" t="n">
        <v>1403</v>
      </c>
      <c r="C32" s="24" t="n">
        <v>57.4</v>
      </c>
    </row>
    <row r="33">
      <c r="A33" s="13" t="inlineStr">
        <is>
          <t>Fishing</t>
        </is>
      </c>
      <c r="B33" s="8" t="n">
        <v>16595</v>
      </c>
      <c r="C33" s="24" t="n">
        <v>57.3</v>
      </c>
    </row>
    <row r="34">
      <c r="A34" s="13" t="inlineStr">
        <is>
          <t>Water Sports</t>
        </is>
      </c>
      <c r="B34" s="8" t="n">
        <v>14880</v>
      </c>
      <c r="C34" s="24" t="n">
        <v>57.2</v>
      </c>
    </row>
    <row r="35">
      <c r="A35" s="13" t="inlineStr">
        <is>
          <t>Indoor/Outdoor Games</t>
        </is>
      </c>
      <c r="B35" s="8" t="n">
        <v>18470</v>
      </c>
      <c r="C35" s="24" t="n">
        <v>57.2</v>
      </c>
    </row>
    <row r="36">
      <c r="A36" s="13" t="inlineStr">
        <is>
          <t>Women's Golf Clubs</t>
        </is>
      </c>
      <c r="B36" s="8" t="n">
        <v>170</v>
      </c>
      <c r="C36" s="24" t="n">
        <v>57.1</v>
      </c>
    </row>
    <row r="37">
      <c r="A37" s="13" t="inlineStr">
        <is>
          <t>Men's Clothing</t>
        </is>
      </c>
      <c r="B37" s="8" t="n">
        <v>198</v>
      </c>
      <c r="C37" s="24" t="n">
        <v>57.1</v>
      </c>
    </row>
    <row r="38">
      <c r="A38" s="13" t="inlineStr">
        <is>
          <t>Cardio Equipment</t>
        </is>
      </c>
      <c r="B38" s="8" t="n">
        <v>11948</v>
      </c>
      <c r="C38" s="24" t="n">
        <v>57</v>
      </c>
    </row>
    <row r="39">
      <c r="A39" s="13" t="inlineStr">
        <is>
          <t>Women's Apparel</t>
        </is>
      </c>
      <c r="B39" s="8" t="n">
        <v>20116</v>
      </c>
      <c r="C39" s="24" t="n">
        <v>57</v>
      </c>
    </row>
    <row r="40">
      <c r="A40" s="13" t="inlineStr">
        <is>
          <t>Men's Footwear</t>
        </is>
      </c>
      <c r="B40" s="8" t="n">
        <v>21263</v>
      </c>
      <c r="C40" s="24" t="n">
        <v>57</v>
      </c>
    </row>
    <row r="41">
      <c r="A41" s="13" t="inlineStr">
        <is>
          <t>Camping &amp; Hiking</t>
        </is>
      </c>
      <c r="B41" s="8" t="n">
        <v>13157</v>
      </c>
      <c r="C41" s="24" t="n">
        <v>56.9</v>
      </c>
    </row>
    <row r="42">
      <c r="A42" s="13" t="inlineStr">
        <is>
          <t>Video Games</t>
        </is>
      </c>
      <c r="B42" s="8" t="n">
        <v>804</v>
      </c>
      <c r="C42" s="24" t="n">
        <v>56.6</v>
      </c>
    </row>
    <row r="43">
      <c r="A43" s="13" t="inlineStr">
        <is>
          <t>DVDs</t>
        </is>
      </c>
      <c r="B43" s="8" t="n">
        <v>459</v>
      </c>
      <c r="C43" s="24" t="n">
        <v>56.4</v>
      </c>
    </row>
    <row r="44">
      <c r="A44" s="13" t="inlineStr">
        <is>
          <t>Hockey</t>
        </is>
      </c>
      <c r="B44" s="8" t="n">
        <v>588</v>
      </c>
      <c r="C44" s="24" t="n">
        <v>56</v>
      </c>
    </row>
    <row r="45">
      <c r="A45" s="13" t="inlineStr">
        <is>
          <t>Children's Clothing</t>
        </is>
      </c>
      <c r="B45" s="8" t="n">
        <v>622</v>
      </c>
      <c r="C45" s="24" t="n">
        <v>55.9</v>
      </c>
    </row>
    <row r="46">
      <c r="A46" s="13" t="inlineStr">
        <is>
          <t>Baby</t>
        </is>
      </c>
      <c r="B46" s="8" t="n">
        <v>198</v>
      </c>
      <c r="C46" s="24" t="n">
        <v>55.1</v>
      </c>
    </row>
    <row r="47">
      <c r="A47" s="13" t="inlineStr">
        <is>
          <t>Soccer</t>
        </is>
      </c>
      <c r="B47" s="8" t="n">
        <v>136</v>
      </c>
      <c r="C47" s="24" t="n">
        <v>55.1</v>
      </c>
    </row>
    <row r="48">
      <c r="A48" s="13" t="inlineStr">
        <is>
          <t>CDs</t>
        </is>
      </c>
      <c r="B48" s="8" t="n">
        <v>263</v>
      </c>
      <c r="C48" s="24" t="n">
        <v>53.6</v>
      </c>
    </row>
    <row r="49">
      <c r="A49" s="13" t="inlineStr">
        <is>
          <t>Golf Apparel</t>
        </is>
      </c>
      <c r="B49" s="8" t="n">
        <v>429</v>
      </c>
      <c r="C49" s="24" t="n">
        <v>53.4</v>
      </c>
    </row>
    <row r="50">
      <c r="A50" s="13" t="inlineStr">
        <is>
          <t>Computers</t>
        </is>
      </c>
      <c r="B50" s="8" t="n">
        <v>425</v>
      </c>
      <c r="C50" s="24" t="n">
        <v>52.7</v>
      </c>
    </row>
    <row r="51">
      <c r="A51" s="13" t="inlineStr">
        <is>
          <t>Men's Golf Clubs</t>
        </is>
      </c>
      <c r="B51" s="8" t="n">
        <v>274</v>
      </c>
      <c r="C51" s="24" t="n">
        <v>49.3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activeCell="D22" sqref="D22"/>
      <selection pane="bottomLeft" activeCell="D22" sqref="D22"/>
    </sheetView>
  </sheetViews>
  <sheetFormatPr baseColWidth="8" defaultRowHeight="14.3"/>
  <cols>
    <col width="21.25" customWidth="1" style="19" min="1" max="5"/>
    <col width="19" customWidth="1" style="19" min="6" max="6"/>
  </cols>
  <sheetData>
    <row r="1" ht="41.95" customHeight="1" s="19">
      <c r="A1" s="18" t="inlineStr">
        <is>
          <t>36,048 late orders carry 20.1 million in sales and 2.14 million in profit, 57% and 56% of the totals.</t>
        </is>
      </c>
    </row>
    <row r="2">
      <c r="A2" s="3" t="inlineStr">
        <is>
          <t>From sql/06_kpis.sql, KPI 6</t>
        </is>
      </c>
      <c r="B2" s="2" t="n"/>
    </row>
    <row r="4" ht="31.95" customHeight="1" s="19">
      <c r="A4" s="20" t="inlineStr">
        <is>
          <t>Delivery</t>
        </is>
      </c>
      <c r="B4" s="20" t="inlineStr">
        <is>
          <t>Orders</t>
        </is>
      </c>
      <c r="C4" s="20" t="inlineStr">
        <is>
          <t>Sales</t>
        </is>
      </c>
      <c r="D4" s="20" t="inlineStr">
        <is>
          <t>Profit</t>
        </is>
      </c>
      <c r="E4" s="20" t="inlineStr">
        <is>
          <t>Share of sales (%)</t>
        </is>
      </c>
      <c r="F4" s="20" t="inlineStr">
        <is>
          <t>Share of profit (%)</t>
        </is>
      </c>
    </row>
    <row r="5">
      <c r="A5" s="13" t="inlineStr">
        <is>
          <t>Late</t>
        </is>
      </c>
      <c r="B5" s="8" t="n">
        <v>36048</v>
      </c>
      <c r="C5" s="16" t="n">
        <v>20126394.88</v>
      </c>
      <c r="D5" s="16" t="n">
        <v>2140051.68</v>
      </c>
      <c r="E5" s="24" t="n">
        <v>57.2</v>
      </c>
      <c r="F5" s="24" t="n">
        <v>56.2</v>
      </c>
    </row>
    <row r="6">
      <c r="A6" s="13" t="inlineStr">
        <is>
          <t>On time</t>
        </is>
      </c>
      <c r="B6" s="8" t="n">
        <v>26849</v>
      </c>
      <c r="C6" s="16" t="n">
        <v>15088034.1</v>
      </c>
      <c r="D6" s="16" t="n">
        <v>1666368.95</v>
      </c>
      <c r="E6" s="24" t="n">
        <v>42.8</v>
      </c>
      <c r="F6" s="24" t="n">
        <v>43.8</v>
      </c>
    </row>
    <row r="7">
      <c r="A7" s="10" t="inlineStr">
        <is>
          <t>Total</t>
        </is>
      </c>
      <c r="B7" s="11">
        <f>SUM(B5:B6)</f>
        <v/>
      </c>
      <c r="C7" s="17">
        <f>SUM(C5:C6)</f>
        <v/>
      </c>
      <c r="D7" s="17">
        <f>SUM(D5:D6)</f>
        <v/>
      </c>
      <c r="E7" s="26">
        <f>ROUND(SUM(E5:E6),1)</f>
        <v/>
      </c>
      <c r="F7" s="26">
        <f>ROUND(SUM(F5:F6),1)</f>
        <v/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22.5" customWidth="1" style="19" min="1" max="1"/>
    <col width="33.75" customWidth="1" style="19" min="3" max="3"/>
    <col width="22.5" customWidth="1" style="19" min="4" max="4"/>
    <col width="34.375" customWidth="1" style="19" min="5" max="5"/>
    <col width="22.5" customWidth="1" style="19" min="6" max="6"/>
  </cols>
  <sheetData>
    <row r="1">
      <c r="A1" s="43" t="inlineStr">
        <is>
          <t>#</t>
        </is>
      </c>
      <c r="B1" s="44" t="inlineStr">
        <is>
          <t>Issue</t>
        </is>
      </c>
      <c r="C1" s="44" t="inlineStr">
        <is>
          <t>Column(s)</t>
        </is>
      </c>
      <c r="D1" s="44" t="inlineStr">
        <is>
          <t>Rows affected</t>
        </is>
      </c>
      <c r="E1" s="44" t="inlineStr">
        <is>
          <t>decision</t>
        </is>
      </c>
      <c r="F1" s="44" t="inlineStr">
        <is>
          <t>reason</t>
        </is>
      </c>
      <c r="G1" s="44" t="inlineStr">
        <is>
          <t>found</t>
        </is>
      </c>
      <c r="H1" s="44" t="inlineStr">
        <is>
          <t>fixed in</t>
        </is>
      </c>
    </row>
    <row r="2" ht="71.34999999999999" customHeight="1" s="19">
      <c r="A2" s="44" t="n">
        <v>1</v>
      </c>
      <c r="B2" s="44" t="inlineStr">
        <is>
          <t>Grain change: lines per order drops from about 3 to 1</t>
        </is>
      </c>
      <c r="C2" s="44" t="inlineStr">
        <is>
          <t>order date (DateOrders), Order Id</t>
        </is>
      </c>
      <c r="D2" s="44" t="inlineStr">
        <is>
          <t>Jan 2015 to Oct 2017: about 5,200 lines and 1,750 orders a month. Oct 2017 to Jan 2018: 8,557 lines, 8,403 orders</t>
        </is>
      </c>
      <c r="E2" s="44" t="inlineStr">
        <is>
          <t>Count KPIs per order</t>
        </is>
      </c>
      <c r="F2" s="44" t="inlineStr">
        <is>
          <t>Order volume did not drop (about 1,750 to 2,100 a month)</t>
        </is>
      </c>
      <c r="G2" s="44" t="inlineStr">
        <is>
          <t>Query 3</t>
        </is>
      </c>
      <c r="H2" s="44" t="inlineStr">
        <is>
          <t>05_model.sql</t>
        </is>
      </c>
    </row>
    <row r="3" ht="57.1" customHeight="1" s="19">
      <c r="A3" s="44" t="n">
        <v>2</v>
      </c>
      <c r="B3" s="44" t="inlineStr">
        <is>
          <t>Day counts disagree with the late flag on canceled orders</t>
        </is>
      </c>
      <c r="C3" s="44" t="inlineStr">
        <is>
          <t>Delivery Status, Late_delivery_risk, Days for shipping (real), Days for shipment (scheduled)</t>
        </is>
      </c>
      <c r="D3" s="44" t="inlineStr">
        <is>
          <t>4,423 lines</t>
        </is>
      </c>
      <c r="E3" s="44" t="inlineStr">
        <is>
          <t>Define is_late from Delivery Status; exclude canceled orders from KPIs</t>
        </is>
      </c>
      <c r="F3" s="44" t="inlineStr">
        <is>
          <t>Canceled orders never shipped, so their day counts are not a delivery measure</t>
        </is>
      </c>
      <c r="G3" s="44" t="inlineStr">
        <is>
          <t>Query 4a/4b</t>
        </is>
      </c>
      <c r="H3" s="44" t="inlineStr">
        <is>
          <t>05_model.sql</t>
        </is>
      </c>
    </row>
    <row r="4" ht="42.8" customHeight="1" s="19">
      <c r="A4" s="44" t="n">
        <v>3</v>
      </c>
      <c r="B4" s="44" t="inlineStr">
        <is>
          <t>Three names have stray spaces</t>
        </is>
      </c>
      <c r="C4" s="44" t="inlineStr">
        <is>
          <t>Order Region</t>
        </is>
      </c>
      <c r="D4" s="44" t="inlineStr">
        <is>
          <t>17,925 lines</t>
        </is>
      </c>
      <c r="E4" s="44" t="inlineStr">
        <is>
          <t>Trim and collapse repeated spaces</t>
        </is>
      </c>
      <c r="F4" s="44" t="inlineStr">
        <is>
          <t>Hidden spaces make the same region group or joinj as different values</t>
        </is>
      </c>
      <c r="G4" s="44" t="inlineStr">
        <is>
          <t>Query 5a</t>
        </is>
      </c>
      <c r="H4" s="44" t="inlineStr">
        <is>
          <t>04_clean.sql</t>
        </is>
      </c>
    </row>
    <row r="5" ht="71.34999999999999" customHeight="1" s="19">
      <c r="A5" s="44" t="n">
        <v>4</v>
      </c>
      <c r="B5" s="44" t="inlineStr">
        <is>
          <t>Canceled lines include suspected-fraud orders</t>
        </is>
      </c>
      <c r="C5" s="44" t="inlineStr">
        <is>
          <t>Delivery Status, Order Status</t>
        </is>
      </c>
      <c r="D5" s="44" t="inlineStr">
        <is>
          <t>7,754 lines (3,692 canceled + 4,062 suspected fraud)</t>
        </is>
      </c>
      <c r="E5" s="44" t="inlineStr">
        <is>
          <t>Exclude from KPIs; describe as “canceled or suspected fraud”</t>
        </is>
      </c>
      <c r="F5" s="44" t="inlineStr">
        <is>
          <t>These orders never shipped, and the two groups are identical to Delivery Status “Shipping canceled”</t>
        </is>
      </c>
      <c r="G5" s="44" t="inlineStr">
        <is>
          <t>Query 5b</t>
        </is>
      </c>
      <c r="H5" s="44" t="inlineStr">
        <is>
          <t>05_model.sql</t>
        </is>
      </c>
    </row>
    <row r="6" ht="42.8" customHeight="1" s="19">
      <c r="A6" s="44" t="n">
        <v>5</v>
      </c>
      <c r="B6" s="44" t="inlineStr">
        <is>
          <t>No missing values or bad number formats in KPI columns</t>
        </is>
      </c>
      <c r="C6" s="44" t="inlineStr">
        <is>
          <t>13 KPI columns; Sales, Order Profit Per Order, Order Item Quantity</t>
        </is>
      </c>
      <c r="D6" s="44" t="n">
        <v>0</v>
      </c>
      <c r="E6" s="44" t="inlineStr">
        <is>
          <t>No cleaning needed; cast types in the clean step</t>
        </is>
      </c>
      <c r="F6" s="44" t="inlineStr">
        <is>
          <t>Zero blanks and zero non-numeric values in 180,519 lines</t>
        </is>
      </c>
      <c r="G6" s="44" t="inlineStr">
        <is>
          <t>Query 6</t>
        </is>
      </c>
      <c r="H6" s="44" t="inlineStr">
        <is>
          <t>04_clean.sql</t>
        </is>
      </c>
    </row>
    <row r="7" ht="42.8" customHeight="1" s="19">
      <c r="A7" s="44" t="n">
        <v>6</v>
      </c>
      <c r="B7" s="44" t="inlineStr">
        <is>
          <t>Order-level columns are consistent across the lines of every order</t>
        </is>
      </c>
      <c r="C7" s="44" t="inlineStr">
        <is>
          <t>Shipping Mode, both day counts, order date, Delivery Status, Order Country, Order Region, Market</t>
        </is>
      </c>
      <c r="D7" s="44" t="inlineStr">
        <is>
          <t xml:space="preserve">0 orders </t>
        </is>
      </c>
      <c r="E7" s="44" t="inlineStr">
        <is>
          <t>Collapse lines into orders with GROUP BY and MAX</t>
        </is>
      </c>
      <c r="F7" s="44" t="inlineStr">
        <is>
          <t>0 orders have more than one value in any of the 8 columns</t>
        </is>
      </c>
      <c r="G7" s="44" t="inlineStr">
        <is>
          <t>Query 7</t>
        </is>
      </c>
      <c r="H7" s="44" t="inlineStr">
        <is>
          <t>05_model.sql</t>
        </is>
      </c>
    </row>
    <row r="8" ht="57.1" customHeight="1" s="19">
      <c r="A8" s="44" t="n">
        <v>7</v>
      </c>
      <c r="B8" s="44" t="inlineStr">
        <is>
          <t>Order Country is in mixed languages (Spanish names)</t>
        </is>
      </c>
      <c r="C8" s="44" t="inlineStr">
        <is>
          <t>Order Country</t>
        </is>
      </c>
      <c r="D8" s="44" t="inlineStr">
        <is>
          <t>164 distinct values; 102 translated</t>
        </is>
      </c>
      <c r="E8" s="44" t="inlineStr">
        <is>
          <t>Translate with a lookup table</t>
        </is>
      </c>
      <c r="F8" s="44" t="inlineStr">
        <is>
          <t>Reports must be readable in English; the map is checked for completeness and duplicates</t>
        </is>
      </c>
      <c r="G8" s="44" t="inlineStr">
        <is>
          <t>Query 8a, 8b</t>
        </is>
      </c>
      <c r="H8" s="44" t="inlineStr">
        <is>
          <t>03_country_map.sql</t>
        </is>
      </c>
    </row>
    <row r="9" ht="42.8" customHeight="1" s="19">
      <c r="A9" s="44" t="n">
        <v>8</v>
      </c>
      <c r="B9" s="44" t="inlineStr">
        <is>
          <t>Order State and Order City are in mixed languages</t>
        </is>
      </c>
      <c r="C9" s="44" t="inlineStr">
        <is>
          <t>Order State, Order City</t>
        </is>
      </c>
      <c r="D9" s="44" t="inlineStr">
        <is>
          <t>1,089 states, 3,597 cities</t>
        </is>
      </c>
      <c r="E9" s="44" t="inlineStr">
        <is>
          <t>Keep as they are</t>
        </is>
      </c>
      <c r="F9" s="44" t="inlineStr">
        <is>
          <t>No KPI uses them; translating would add effort for no result</t>
        </is>
      </c>
      <c r="G9" s="44" t="inlineStr">
        <is>
          <t>Query 8a</t>
        </is>
      </c>
      <c r="H9" s="44" t="inlineStr">
        <is>
          <t>N/A: no KPI uses them</t>
        </is>
      </c>
    </row>
    <row r="10" ht="57.1" customHeight="1" s="19">
      <c r="A10" s="44" t="n">
        <v>9</v>
      </c>
      <c r="B10" s="44" t="inlineStr">
        <is>
          <t>The USA appears under 4 regions (one market), so country is not a unique key for region</t>
        </is>
      </c>
      <c r="C10" s="44" t="inlineStr">
        <is>
          <t>Order Country, Order Region</t>
        </is>
      </c>
      <c r="D10" s="44" t="inlineStr">
        <is>
          <t>24,840 Estados Unidos lines</t>
        </is>
      </c>
      <c r="E10" s="44" t="inlineStr">
        <is>
          <t>Do not key the geography table on country alone</t>
        </is>
      </c>
      <c r="F10" s="44" t="inlineStr">
        <is>
          <t>Country alone would join one country to 4 regions and duplicate rows</t>
        </is>
      </c>
      <c r="G10" s="44" t="inlineStr">
        <is>
          <t>Query 8c</t>
        </is>
      </c>
      <c r="H10" s="44" t="inlineStr">
        <is>
          <t>05_model.sql</t>
        </is>
      </c>
    </row>
    <row r="11" ht="28.55" customHeight="1" s="19">
      <c r="A11" s="44" t="n">
        <v>10</v>
      </c>
      <c r="B11" s="44" t="inlineStr">
        <is>
          <t>Baseline size: one row per item, not per order</t>
        </is>
      </c>
      <c r="C11" s="44" t="inlineStr">
        <is>
          <t>Order Id, Order Item Id</t>
        </is>
      </c>
      <c r="D11" s="44" t="inlineStr">
        <is>
          <t>180,519 lines, 65,752 orders</t>
        </is>
      </c>
      <c r="E11" t="inlineStr">
        <is>
          <t>Build an order-level table; KPIs per order</t>
        </is>
      </c>
      <c r="F11" s="44" t="inlineStr">
        <is>
          <t>Every later KPI must reconcile to this baseline</t>
        </is>
      </c>
      <c r="G11" s="44" t="inlineStr">
        <is>
          <t>Query 1</t>
        </is>
      </c>
      <c r="H11" s="44" t="inlineStr">
        <is>
          <t>05_model.sql</t>
        </is>
      </c>
    </row>
    <row r="12" ht="42.8" customHeight="1" s="19">
      <c r="A12" s="44" t="n">
        <v>11</v>
      </c>
      <c r="B12" s="44" t="inlineStr">
        <is>
          <t>Text encoding (accents garbled on load)</t>
        </is>
      </c>
      <c r="C12" s="44" t="inlineStr">
        <is>
          <t>All text columns</t>
        </is>
      </c>
      <c r="D12" s="44" t="inlineStr">
        <is>
          <t>Whole file</t>
        </is>
      </c>
      <c r="E12" s="44" t="inlineStr">
        <is>
          <t>Load with Windows-1252 encoding</t>
        </is>
      </c>
      <c r="F12" s="44" t="inlineStr">
        <is>
          <t>File is not UTF-8; default load garbled accented characters</t>
        </is>
      </c>
      <c r="G12" s="44" t="inlineStr">
        <is>
          <t>Stage 1 load</t>
        </is>
      </c>
      <c r="H12" s="44" t="inlineStr">
        <is>
          <t>01_load.sql</t>
        </is>
      </c>
    </row>
    <row r="13" ht="57.1" customHeight="1" s="19">
      <c r="A13" s="44" t="n">
        <v>12</v>
      </c>
      <c r="B13" s="44" t="inlineStr">
        <is>
          <t>Dates stored as text</t>
        </is>
      </c>
      <c r="C13" s="44" t="inlineStr">
        <is>
          <t>order date (DateOrders), shipping date (DateOrders)</t>
        </is>
      </c>
      <c r="D13" s="45" t="n">
        <v>180519</v>
      </c>
      <c r="E13" s="44" t="inlineStr">
        <is>
          <t>Convert to timestamp in the clean step</t>
        </is>
      </c>
      <c r="F13" s="44" t="inlineStr">
        <is>
          <t>Raw table is all TEXT; dates can't be compared or grouped until converted</t>
        </is>
      </c>
      <c r="G13" s="44" t="inlineStr">
        <is>
          <t>Query 3</t>
        </is>
      </c>
      <c r="H13" s="44" t="inlineStr">
        <is>
          <t>04_clean.sql</t>
        </is>
      </c>
    </row>
    <row r="14" ht="42.8" customHeight="1" s="19">
      <c r="A14" s="44" t="n">
        <v>13</v>
      </c>
      <c r="B14" s="44" t="inlineStr">
        <is>
          <t>Personal data in the file</t>
        </is>
      </c>
      <c r="C14" s="44" t="inlineStr">
        <is>
          <t>Customer Email, Customer Password, Customer Fname, Customer Lname, Customer Street</t>
        </is>
      </c>
      <c r="D14" s="45" t="n">
        <v>180519</v>
      </c>
      <c r="E14" s="44" t="inlineStr">
        <is>
          <t>Leave out of the clean and mart tables; never show in Excel or Power BI</t>
        </is>
      </c>
      <c r="F14" s="44" t="inlineStr">
        <is>
          <t>No KPI needs them; keeps the deliverable safe to share</t>
        </is>
      </c>
      <c r="G14" s="44" t="inlineStr">
        <is>
          <t>Stage 1 column review</t>
        </is>
      </c>
      <c r="H14" s="44" t="inlineStr">
        <is>
          <t>04_clean.sql</t>
        </is>
      </c>
    </row>
    <row r="15" ht="34" customHeight="1" s="19">
      <c r="A15" s="44" t="n">
        <v>14</v>
      </c>
      <c r="B15" s="44" t="inlineStr">
        <is>
          <t>Columns not needed</t>
        </is>
      </c>
      <c r="C15" s="44" t="inlineStr">
        <is>
          <t>Product Image, Product Description</t>
        </is>
      </c>
      <c r="D15" s="45" t="n">
        <v>180519</v>
      </c>
      <c r="E15" s="44" t="inlineStr">
        <is>
          <t>Leave out of the clean table</t>
        </is>
      </c>
      <c r="F15" s="44" t="inlineStr">
        <is>
          <t>No KPI uses them</t>
        </is>
      </c>
      <c r="G15" s="44" t="inlineStr">
        <is>
          <t>Stage 1 column review</t>
        </is>
      </c>
      <c r="H15" s="44" t="inlineStr">
        <is>
          <t>04_clean.sql</t>
        </is>
      </c>
    </row>
    <row r="16" ht="66.59999999999999" customHeight="1" s="19">
      <c r="A16" s="44" t="n">
        <v>15</v>
      </c>
      <c r="B16" s="44" t="inlineStr">
        <is>
          <t>One category listed under two departments</t>
        </is>
      </c>
      <c r="C16" s="44" t="inlineStr">
        <is>
          <t>Category Name, Department Name</t>
        </is>
      </c>
      <c r="D16" s="44" t="inlineStr">
        <is>
          <t>3,156 lines (Electronics: 2,029 Outdoors, 1,127 Footwear)</t>
        </is>
      </c>
      <c r="E16" s="44" t="inlineStr">
        <is>
          <t>Product dimension keyed on category only; department not used in KPIs</t>
        </is>
      </c>
      <c r="F16" s="44" t="inlineStr">
        <is>
          <t>Questions are by category; department conflicts for Electronics</t>
        </is>
      </c>
      <c r="G16" s="44" t="inlineStr">
        <is>
          <t>Step 11 test</t>
        </is>
      </c>
      <c r="H16" s="44" t="inlineStr">
        <is>
          <t>05_model.sql</t>
        </is>
      </c>
    </row>
    <row r="17" ht="99.84999999999999" customHeight="1" s="19">
      <c r="A17" s="44" t="n">
        <v>16</v>
      </c>
      <c r="B17" s="44" t="inlineStr">
        <is>
          <t>Monthly order volume steps up about 20% from Oct 2017</t>
        </is>
      </c>
      <c r="C17" s="44" t="inlineStr">
        <is>
          <t>order date (DateOrders), Order Id</t>
        </is>
      </c>
      <c r="D17" s="44" t="inlineStr">
        <is>
          <t>8,043 orders, Oct 2017 to Jan 2018 (about 2,000 a month vs about 1,650 before)</t>
        </is>
      </c>
      <c r="E17" s="44" t="inlineStr">
        <is>
          <t>Report the late rate; do not report volume trends across Oct 2017</t>
        </is>
      </c>
      <c r="F17" s="44" t="inlineStr">
        <is>
          <t>The late rate stayed at 56 to 59% through the change, so the rate is comparable across the whole period; the volume change is not explained by the data</t>
        </is>
      </c>
      <c r="G17" s="44" t="inlineStr">
        <is>
          <t>KPI 2</t>
        </is>
      </c>
      <c r="H17" s="44" t="inlineStr">
        <is>
          <t>N/A: no data change</t>
        </is>
      </c>
    </row>
    <row r="18" ht="85.59999999999999" customHeight="1" s="19">
      <c r="A18" s="44" t="n">
        <v>17</v>
      </c>
      <c r="B18" s="44" t="inlineStr">
        <is>
          <t>Actual days are evenly spread (about 20% each of 2 to 6 days) in Second Class and Standard Class, and always 2 days in First Class</t>
        </is>
      </c>
      <c r="C18" s="44" t="inlineStr">
        <is>
          <t>Days for shipping (real), Shipping Mode</t>
        </is>
      </c>
      <c r="D18" s="44" t="inlineStr">
        <is>
          <t>49,888 orders (Second Class 12,256 + Standard Class 37,632) plus 9,602 First Class</t>
        </is>
      </c>
      <c r="E18" s="44" t="inlineStr">
        <is>
          <t>Report as is; state in the limits that the data looks synthetic and cannot separate carrier from warehouse</t>
        </is>
      </c>
      <c r="F18" s="44" t="inlineStr">
        <is>
          <t>A natural process would not give equal groups; the finding about the promise still holds because it uses the same data on both sides</t>
        </is>
      </c>
      <c r="G18" s="44" t="inlineStr">
        <is>
          <t>Promise test</t>
        </is>
      </c>
      <c r="H18" s="44" t="inlineStr">
        <is>
          <t>N/A: no data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DEIVI SIERRA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2026-10-11T20:24:51Z</dcterms:modified>
  <cp:lastModifiedBy>Deivi Sierra</cp:lastModifiedBy>
</cp:coreProperties>
</file>